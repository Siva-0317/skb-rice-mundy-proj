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Round 4 results" sheetId="2" state="visible" r:id="rId4"/>
    <sheet name="Defects" sheetId="3" state="visible" r:id="rId5"/>
    <sheet name="Post-deploy" sheetId="4" state="visible" r:id="rId6"/>
    <sheet name="All rounds" sheetId="5" state="visible" r:id="rId7"/>
    <sheet name="Reconciliation" sheetId="6" state="visible" r:id="rId8"/>
    <sheet name="Still to do" sheetId="7" state="visible" r:id="rId9"/>
    <sheet name="Observation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<sst xmlns="http://schemas.openxmlformats.org/spreadsheetml/2006/main" count="460" uniqueCount="332">
  <si>
    <t xml:space="preserve">SKB Rice Mundy — QA Round 4 (full sweep)</t>
  </si>
  <si>
    <t xml:space="preserve">App: https://skb-rice-mundy-3ca47.web.app · Tested 7 Sep 2026 IST · Microsoft Edge · signed in as Owner (santhoshbalamani@gmail.com)</t>
  </si>
  <si>
    <t xml:space="preserve">What this round covered</t>
  </si>
  <si>
    <t xml:space="preserve">A full pass over every module, plus the two paths round 3 listed as never exercised: the sale EDIT path and the supplier ledger PAYMENT EDIT. Both were tested for the first time. The payment edit turned out to be broken.</t>
  </si>
  <si>
    <t xml:space="preserve">Measure</t>
  </si>
  <si>
    <t xml:space="preserve">Count</t>
  </si>
  <si>
    <t xml:space="preserve">Notes</t>
  </si>
  <si>
    <t xml:space="preserve">Test cases executed this round</t>
  </si>
  <si>
    <t xml:space="preserve">Counted from the 'Round 4 results' tab, not typed in</t>
  </si>
  <si>
    <t xml:space="preserve">Passed</t>
  </si>
  <si>
    <t xml:space="preserve">Computed from this workbook's own data</t>
  </si>
  <si>
    <t xml:space="preserve">Failed</t>
  </si>
  <si>
    <t xml:space="preserve">Blocked</t>
  </si>
  <si>
    <t xml:space="preserve">New defects raised</t>
  </si>
  <si>
    <t xml:space="preserve">Automated tests in the suite</t>
  </si>
  <si>
    <t xml:space="preserve">Was 78 at the end of round 3. 14 added this round.</t>
  </si>
  <si>
    <t xml:space="preserve">The headline</t>
  </si>
  <si>
    <t xml:space="preserve">•</t>
  </si>
  <si>
    <t xml:space="preserve">Two critical money defects were found, both in code the client has been running.</t>
  </si>
  <si>
    <t xml:space="preserve">Neither was introduced by this project's changes. Item editing has never worked at all; editing a supplier payment corrupts the ledger row and the balance together, and the two then disagree about which is wrong.</t>
  </si>
  <si>
    <t xml:space="preserve">Everything the last two rounds fixed held up under a fresh pass.</t>
  </si>
  <si>
    <t xml:space="preserve">The derived running balance (NEW-07), the orphaned-category surfacing (NEW-06), the future-date guards (BUG-10) and the deletion cascades were all re-exercised against live data and all behaved.</t>
  </si>
  <si>
    <t xml:space="preserve">Stock and money reconcile everywhere they are shown.</t>
  </si>
  <si>
    <t xml:space="preserve">18 items / 8,301 bags / Rs 1,22,09,350 agreed across Inventory, two reports and the Dashboard, re-summed independently row by row rather than read off a total. Outstanding of Rs 1,41,85,975 agreed across four screens.</t>
  </si>
  <si>
    <t xml:space="preserve">The app cannot yet do the thing round 3 set out to fix.</t>
  </si>
  <si>
    <t xml:space="preserve">The three 'Hmt Boiled' records still cannot be renamed on the live site, because the item-edit defect below blocks every item save. The fix is committed and waiting on a deploy.</t>
  </si>
  <si>
    <t xml:space="preserve">Round 4 — test cases executed</t>
  </si>
  <si>
    <t xml:space="preserve">Every figure below was read off the live app. Totals marked 're-summed' were recomputed row by row in the page, not read from the app's own total.</t>
  </si>
  <si>
    <t xml:space="preserve">ID</t>
  </si>
  <si>
    <t xml:space="preserve">Area</t>
  </si>
  <si>
    <t xml:space="preserve">What was tested</t>
  </si>
  <si>
    <t xml:space="preserve">What was observed</t>
  </si>
  <si>
    <t xml:space="preserve">Result</t>
  </si>
  <si>
    <t xml:space="preserve">Links to</t>
  </si>
  <si>
    <t xml:space="preserve">R4-01</t>
  </si>
  <si>
    <t xml:space="preserve">Dashboard</t>
  </si>
  <si>
    <t xml:space="preserve">Date rollover across midnight IST</t>
  </si>
  <si>
    <t xml:space="preserve">Today's Sales reset to Rs 0; yesterday's Rs 10,000 bill relabelled 'Yesterday'; 7-day window advanced Tue→Mon; week total still Rs 10,000</t>
  </si>
  <si>
    <t xml:space="preserve">PASS</t>
  </si>
  <si>
    <t xml:space="preserve">R4-02</t>
  </si>
  <si>
    <t xml:space="preserve">Inventory</t>
  </si>
  <si>
    <t xml:space="preserve">Header total vs the rows actually rendered</t>
  </si>
  <si>
    <t xml:space="preserve">Re-summed the rendered rows in the page: 18 items / 8,297 bags, matching the header exactly</t>
  </si>
  <si>
    <t xml:space="preserve">NEW-06</t>
  </si>
  <si>
    <t xml:space="preserve">R4-03</t>
  </si>
  <si>
    <t xml:space="preserve">Sales</t>
  </si>
  <si>
    <t xml:space="preserve">Record a sale (4 bags Sona Raw @ 1,750)</t>
  </si>
  <si>
    <t xml:space="preserve">Bill SKB-2026-0029 Rs 7,000. Stock 260→256, total bags 8,297→8,293</t>
  </si>
  <si>
    <t xml:space="preserve">R4-04</t>
  </si>
  <si>
    <t xml:space="preserve">EDIT that sale to 6 bags — untested since round 1</t>
  </si>
  <si>
    <t xml:space="preserve">Confirm dialog names the effect. Bill Rs 10,500 / 6 bags; stock →254; total 8,291 = 8,297-6, so the 4 was fully reversed rather than double-counted; customer balance Rs 10,500; ONE ledger row</t>
  </si>
  <si>
    <t xml:space="preserve">R4-05</t>
  </si>
  <si>
    <t xml:space="preserve">Ledger</t>
  </si>
  <si>
    <t xml:space="preserve">Business ledger after the edit</t>
  </si>
  <si>
    <t xml:space="preserve">One row, 07 Sept, Sale, debit Rs 10,500. Net balance 1,41,75,475 → 1,41,85,975, exactly +10,500</t>
  </si>
  <si>
    <t xml:space="preserve">R4-06</t>
  </si>
  <si>
    <t xml:space="preserve">Purchase</t>
  </si>
  <si>
    <t xml:space="preserve">Record a purchase (10 bags Motta Raw @ 1,100)</t>
  </si>
  <si>
    <t xml:space="preserve">PUR-2026-0004 Rs 11,000 UNPAID. Motta Raw 6→16; total bags 8,291→8,301; re-summed rows = header exactly</t>
  </si>
  <si>
    <t xml:space="preserve">R4-07</t>
  </si>
  <si>
    <t xml:space="preserve">Future-date guard on the purchase form</t>
  </si>
  <si>
    <t xml:space="preserve">Date input carries max=2026-09-07</t>
  </si>
  <si>
    <t xml:space="preserve">BUG-10</t>
  </si>
  <si>
    <t xml:space="preserve">R4-08</t>
  </si>
  <si>
    <t xml:space="preserve">Supplier</t>
  </si>
  <si>
    <t xml:space="preserve">Supplier ledger running balance</t>
  </si>
  <si>
    <t xml:space="preserve">Three dated rows accumulate correctly, and two same-day rows order bill-then-payment</t>
  </si>
  <si>
    <t xml:space="preserve">NEW-07</t>
  </si>
  <si>
    <t xml:space="preserve">R4-09</t>
  </si>
  <si>
    <t xml:space="preserve">Record a supplier payment of Rs 4,000</t>
  </si>
  <si>
    <t xml:space="preserve">Header 11,000→7,000; row credit Rs 4,000; balance Rs 7,000</t>
  </si>
  <si>
    <t xml:space="preserve">R4-10</t>
  </si>
  <si>
    <t xml:space="preserve">EDIT that payment to Rs 6,000 — never exercised before</t>
  </si>
  <si>
    <t xml:space="preserve">Row became debit Rs 6,000 AND credit Rs 4,000; statement Rs 13,000; header Rs 1,000; correct is Rs 5,000</t>
  </si>
  <si>
    <t xml:space="preserve">FAIL</t>
  </si>
  <si>
    <t xml:space="preserve">R4-D3</t>
  </si>
  <si>
    <t xml:space="preserve">R4-11</t>
  </si>
  <si>
    <t xml:space="preserve">Reports</t>
  </si>
  <si>
    <t xml:space="preserve">Supplier Balance Report after the bad edit</t>
  </si>
  <si>
    <t xml:space="preserve">Reports 'paid Rs 10,000' — it is summing both sides of the corrupted row. Confirms the damage reaches reporting</t>
  </si>
  <si>
    <t xml:space="preserve">R4-12</t>
  </si>
  <si>
    <t xml:space="preserve">Masters</t>
  </si>
  <si>
    <t xml:space="preserve">Rename an item (the whole point of round 3)</t>
  </si>
  <si>
    <t xml:space="preserve">Item Name field is now editable — the round 3 fix is live. But Save fails: 'Item name is required.' Seven attempts, seven identical server-side errors</t>
  </si>
  <si>
    <t xml:space="preserve">R4-D2</t>
  </si>
  <si>
    <t xml:space="preserve">R4-13</t>
  </si>
  <si>
    <t xml:space="preserve">Deploy</t>
  </si>
  <si>
    <t xml:space="preserve">Which bundle the live site serves</t>
  </si>
  <si>
    <t xml:space="preserve">index.html referenced the new bundle, but this browser ran the old one from cache; the old bundle no longer exists and the SPA rewrite returns index.html for it at status 200</t>
  </si>
  <si>
    <t xml:space="preserve">R4-D1</t>
  </si>
  <si>
    <t xml:space="preserve">R4-14</t>
  </si>
  <si>
    <t xml:space="preserve">Current Stock Report reconciliation</t>
  </si>
  <si>
    <t xml:space="preserve">18 rows, re-summed = 8,301 bags / Rs 1,22,09,350 = the printed total and the Inventory header</t>
  </si>
  <si>
    <t xml:space="preserve">R4-15</t>
  </si>
  <si>
    <t xml:space="preserve">Stock Summary by Variety</t>
  </si>
  <si>
    <t xml:space="preserve">4+1+2+10+1 = 18 items; 5,963+1,038+874+422+4 = 8,301; values foot to Rs 1,22,09,350; cross-foots against Current Stock category by category. No orphan 'boiled-rice' row</t>
  </si>
  <si>
    <t xml:space="preserve">R4-16</t>
  </si>
  <si>
    <t xml:space="preserve">Customer-wise Balance</t>
  </si>
  <si>
    <t xml:space="preserve">86 rows, re-summed = Rs 1,41,85,975 = the printed total = the Ledger net balance = the Reports header</t>
  </si>
  <si>
    <t xml:space="preserve">R4-17</t>
  </si>
  <si>
    <t xml:space="preserve">Item-wise Sales Data</t>
  </si>
  <si>
    <t xml:space="preserve">Sona Raw 1 bill / 6 bags / 156 kg / Rs 10,500 — the EDITED figure, with no ghost 4-bag row. Totals foot</t>
  </si>
  <si>
    <t xml:space="preserve">R4-18</t>
  </si>
  <si>
    <t xml:space="preserve">Category-wise Purchase vs Sale (P&amp;L)</t>
  </si>
  <si>
    <t xml:space="preserve">Avg sell 20,500/16 = 1,281.25; profit (1,281.25-1,100)x16 = Rs 2,900; margin 2,900/20,500 = 14.15%. All three recomputed by hand and correct</t>
  </si>
  <si>
    <t xml:space="preserve">R4-19</t>
  </si>
  <si>
    <t xml:space="preserve">Customers</t>
  </si>
  <si>
    <t xml:space="preserve">Statement after deleting the bill — the round 3 defect</t>
  </si>
  <si>
    <t xml:space="preserve">Surviving payment row shows -Rs 3,000, derived. Header reads 'Advance Balance Rs 3,000'. Before the fix this row kept printing the pre-deletion figure</t>
  </si>
  <si>
    <t xml:space="preserve">R4-20</t>
  </si>
  <si>
    <t xml:space="preserve">Delete a bill restores stock</t>
  </si>
  <si>
    <t xml:space="preserve">Sona Raw 254→260; totals 8,301→8,307; full arc 260→256→254→260 reversed exactly</t>
  </si>
  <si>
    <t xml:space="preserve">R4-21</t>
  </si>
  <si>
    <t xml:space="preserve">Delete customer cascade</t>
  </si>
  <si>
    <t xml:space="preserve">Requires typing the exact name. Count 86→85, no residual rows, and the ledger net balance returned to Rs 1,41,75,475 — the exact pre-test figure</t>
  </si>
  <si>
    <t xml:space="preserve">BUG-23</t>
  </si>
  <si>
    <t xml:space="preserve">R4-22</t>
  </si>
  <si>
    <t xml:space="preserve">Delete an item that still holds stock</t>
  </si>
  <si>
    <t xml:space="preserve">Warned '7 bags in stock ... make sure stock is accounted for', then Delete Anyway. Removed cleanly</t>
  </si>
  <si>
    <t xml:space="preserve">R4-23</t>
  </si>
  <si>
    <t xml:space="preserve">Delete or rename a category</t>
  </si>
  <si>
    <t xml:space="preserve">No such control exists, and no deleteCategory anywhere in the source. A category, once created, is permanent inside the app</t>
  </si>
  <si>
    <t xml:space="preserve">R4-D4</t>
  </si>
  <si>
    <t xml:space="preserve">R4-24</t>
  </si>
  <si>
    <t xml:space="preserve">Date filter with opening and closing balance rows</t>
  </si>
  <si>
    <t xml:space="preserve">Filtered 15 Aug: 9 entries bracketed by Opening Rs 1,43,14,975 and Closing Rs 1,42,05,475. Walked every row — the seven transactions carry one figure to the other exactly</t>
  </si>
  <si>
    <t xml:space="preserve">Totals</t>
  </si>
  <si>
    <t xml:space="preserve">Defects raised in round 4</t>
  </si>
  <si>
    <t xml:space="preserve">All four are in code the client has been running. None was introduced by this project's changes — the item-edit defect was merely uncovered by unlocking the name field.</t>
  </si>
  <si>
    <t xml:space="preserve">Severity</t>
  </si>
  <si>
    <t xml:space="preserve">Title</t>
  </si>
  <si>
    <t xml:space="preserve">What happens, and why</t>
  </si>
  <si>
    <t xml:space="preserve">Fix</t>
  </si>
  <si>
    <t xml:space="preserve">Status</t>
  </si>
  <si>
    <t xml:space="preserve">Critical</t>
  </si>
  <si>
    <t xml:space="preserve">No item could be edited, ever</t>
  </si>
  <si>
    <t xml:space="preserve">AddItemModal called updateItem(id, {categoryKey, bagKg, mrp}) with no name. updateItem treats a missing name as blank and throws 'Item name is required.', so EVERY item edit failed — a plain MRP, bag-size or category correction included, not only a rename. Original code (9f571ac). The disabled Item Name field hid it: the field looked deliberately read-only rather than silently unsent. Confirmed in the console: 7 attempts, 7 identical server-side errors.</t>
  </si>
  <si>
    <t xml:space="preserve">Send name with the payload. The catch also flattened every failure to 'Failed to save item', hiding the actionable 'An item with the name X already exists.' — it now shows the real reason. New test goes through the MODAL, not updateItem in isolation, which is why the existing rename test never caught this.</t>
  </si>
  <si>
    <t xml:space="preserve">Fixed in d109cd0 — awaiting deploy</t>
  </si>
  <si>
    <t xml:space="preserve">Supplier payment edit writes to the DEBIT side</t>
  </si>
  <si>
    <t xml:space="preserve">Both recordSupplierPayment and recordPayment store a payment as {debit: 0, credit: amount}. editLedgerEntry branched on isSupplier, read the old amount off debit (always 0) and wrote the new amount to debit as well, leaving the original credit in place. So the row claimed both sides, and the balance was reduced by the whole new amount a second time. Live: Rs 11,000 bill, Rs 4,000 paid, edited to Rs 6,000 → row 6,000/4,000, statement Rs 13,000, header Rs 1,000, report 'paid Rs 10,000'. Correct: Rs 5,000. The customer path was unaffected.</t>
  </si>
  <si>
    <t xml:space="preserve">The branch is gone — a payment is a credit for both. Beyond that the balance is now RECOMPUTED from the person's rows rather than nudged by a delta, in both edit and delete: a delta is only right while the stored figure is, and this function corrupted that figure, so a skewed balance would otherwise never recover. The damaged Kalambur AMK record now repairs itself on the next edit or delete of that payment.</t>
  </si>
  <si>
    <t xml:space="preserve">Fixed in 9e8c5b6 — awaiting deploy</t>
  </si>
  <si>
    <t xml:space="preserve">High</t>
  </si>
  <si>
    <t xml:space="preserve">Every deploy risks a blank page for returning users</t>
  </si>
  <si>
    <t xml:space="preserve">firebase.json set no Cache-Control, so Firebase served index.html with max-age=3600. For an hour after any deploy a returning user runs the old app — and the old content-hashed bundle is gone, so the '**' → /index.html rewrite answers the request for it with index.html at status 200. With the existing nosniff header the browser refuses to execute it and the user sees a blank page, recoverable only by a hard refresh. This session hit it mid-test, which is how it was found.</t>
  </si>
  <si>
    <t xml:space="preserve">index.html is now no-cache/no-store/must-revalidate; /assets/** is immutable for a year, which is safe because those filenames are content-hashed. Confirmed against the live site before fixing: status 200, HTML body, cache-control max-age=3600, nosniff.</t>
  </si>
  <si>
    <t xml:space="preserve">Medium</t>
  </si>
  <si>
    <t xml:space="preserve">A category can be created but never deleted or renamed</t>
  </si>
  <si>
    <t xml:space="preserve">There is no deleteCategory anywhere in src/, and no delete or rename control in Item Masters — only Add Category inside the Add Item modal. This is also how round 4's NEW-06 orphan happened: the duplicate 'Boiled Rice' category was removed from the FIREBASE CONSOLE, not the app, so nothing re-pointed its item and 400 bags / Rs 3,60,000 went invisible. While the console is the only way to remove a category, that will recur.</t>
  </si>
  <si>
    <t xml:space="preserve">Not fixed — this one needs a decision first. What should happen to items in a category being deleted: block the delete while any item points at it, or force them to be re-pointed? The itemGrouping fix already surfaces orphans instead of hiding them, so the damage is contained either way.</t>
  </si>
  <si>
    <t xml:space="preserve">Open — needs a client decision</t>
  </si>
  <si>
    <t xml:space="preserve">After the deploy — what was verified on the live site</t>
  </si>
  <si>
    <t xml:space="preserve">Bundle index-WOZfADgy.js. Everything below was re-checked against the running app, not against the code. This tab supersedes the 'awaiting deploy' statuses on the Defects and All rounds tabs.</t>
  </si>
  <si>
    <t xml:space="preserve">What</t>
  </si>
  <si>
    <t xml:space="preserve">Before</t>
  </si>
  <si>
    <t xml:space="preserve">After</t>
  </si>
  <si>
    <t xml:space="preserve">Cache headers on the live site</t>
  </si>
  <si>
    <t xml:space="preserve">index.html: max-age=3600, and the old bundle 404'd into index.html at status 200 → blank page</t>
  </si>
  <si>
    <t xml:space="preserve">index.html: no-cache, no-store, must-revalidate. /assets/**: public, max-age=31536000, immutable</t>
  </si>
  <si>
    <t xml:space="preserve">Rename the three duplicate item records</t>
  </si>
  <si>
    <t xml:space="preserve">Every item save failed with 'Item name is required.' — 7 attempts, 7 server-side errors</t>
  </si>
  <si>
    <t xml:space="preserve">All three renamed: HMT Boiled (4,922), HMT Boiled - Carshed (774), HMT Boiled - Godown (1,038). The Carshed record's trailing space was trimmed</t>
  </si>
  <si>
    <t xml:space="preserve">Item editing in general</t>
  </si>
  <si>
    <t xml:space="preserve">No item could be edited at all — MRP, bag size or category included</t>
  </si>
  <si>
    <t xml:space="preserve">Item editing works for the first time. This was the blocker on the whole round 3 objective</t>
  </si>
  <si>
    <t xml:space="preserve">Edit the Kalambur AMK supplier payment</t>
  </si>
  <si>
    <t xml:space="preserve">Row: debit 6,000 AND credit 4,000. Statement 13,000. Header 1,000. Report 'paid 10,000'</t>
  </si>
  <si>
    <t xml:space="preserve">Row: credit 6,000, balance 5,000. Header 5,000. Report: purchased 11,000 / paid 6,000 / payable 5,000. Tile 5,000</t>
  </si>
  <si>
    <t xml:space="preserve">Do the four sources agree?</t>
  </si>
  <si>
    <t xml:space="preserve">Every one of them disagreed, and each was wrong differently</t>
  </si>
  <si>
    <t xml:space="preserve">All four agree, and agree on the correct figure of Rs 5,000</t>
  </si>
  <si>
    <t xml:space="preserve">Self-repair of the damaged record</t>
  </si>
  <si>
    <t xml:space="preserve">The corrupted row and the skewed stored balance both persisted through a reload</t>
  </si>
  <si>
    <t xml:space="preserve">Both healed on a single edit, with no data migration — the recompute working as designed</t>
  </si>
  <si>
    <t xml:space="preserve">e9e44d2</t>
  </si>
  <si>
    <t xml:space="preserve">The hang I introduced, then fixed</t>
  </si>
  <si>
    <t xml:space="preserve">The same edit sat on 'Saving...' indefinitely: no error, no toast, nothing written</t>
  </si>
  <si>
    <t xml:space="preserve">Completed in about 7 seconds</t>
  </si>
  <si>
    <t xml:space="preserve">—</t>
  </si>
  <si>
    <t xml:space="preserve">Delete the two stale Sona Raw test records</t>
  </si>
  <si>
    <t xml:space="preserve">Two zero-stock duplicates left over from round 1</t>
  </si>
  <si>
    <t xml:space="preserve">Both deleted. Only the real 260-bag record remains</t>
  </si>
  <si>
    <t xml:space="preserve">Duplicate item names anywhere in the app</t>
  </si>
  <si>
    <t xml:space="preserve">HMT Boiled x3, Sona Raw x3 — indistinguishable in every picker</t>
  </si>
  <si>
    <t xml:space="preserve">ZERO duplicates. The purchase item picker lists 16 items, every one uniquely identifiable. The mis-billing risk is closed</t>
  </si>
  <si>
    <t xml:space="preserve">Inventory reconciliation after all the changes</t>
  </si>
  <si>
    <t xml:space="preserve">18 items / 8,301 bags</t>
  </si>
  <si>
    <t xml:space="preserve">16 items / 8,307 bags, re-summed row by row and matching the header exactly. The two deleted records held no stock</t>
  </si>
  <si>
    <t xml:space="preserve">No control, and no deleteCategory in the source</t>
  </si>
  <si>
    <t xml:space="preserve">Unchanged — still open, and still needs a decision on what happens to items in a deleted category</t>
  </si>
  <si>
    <t xml:space="preserve">OPEN</t>
  </si>
  <si>
    <t xml:space="preserve">Verified</t>
  </si>
  <si>
    <t xml:space="preserve">One thing I got wrong, and how</t>
  </si>
  <si>
    <t xml:space="preserve">The balance recompute I shipped in 9e8c5b6 ran its Firestore query from inside the transaction. A query issued there can block on the same stream the transaction holds, so the payment edit hung on 'Saving...' forever — no error, no toast, no console entry, nothing written. I hit it on my first attempt to repair Kalambur AMK. All eight of my tests passed while the feature was unusable, because they tested the arithmetic and never the mechanics. Fixed in e9e44d2 by reading the ledger once before the transaction opens, with two tests that pin the ordering specifically: moving the read back inside turns one red while the other nine stay green.</t>
  </si>
  <si>
    <t xml:space="preserve">Defect history across all four rounds</t>
  </si>
  <si>
    <t xml:space="preserve">Status as of 7 Sep 2026. 'Fixed, verified' means re-exercised against the live app after the fix was deployed.</t>
  </si>
  <si>
    <t xml:space="preserve">Round</t>
  </si>
  <si>
    <t xml:space="preserve">Resolution</t>
  </si>
  <si>
    <t xml:space="preserve">NEW-01</t>
  </si>
  <si>
    <t xml:space="preserve">Every write to items was denied</t>
  </si>
  <si>
    <t xml:space="preserve">Rules separated stock movement from master-data edit; isStockOnlyUpdate() added; inventory_adjustments given a rule; isOwner() guarded with exists()</t>
  </si>
  <si>
    <t xml:space="preserve">Fixed, verified round 3</t>
  </si>
  <si>
    <t xml:space="preserve">BUG-02</t>
  </si>
  <si>
    <t xml:space="preserve">Two different stock totals (6,033 vs 8,317)</t>
  </si>
  <si>
    <t xml:space="preserve">getUniqueActiveItems de-duplicated by name and discarded the stock with it. Replaced by getActiveItems</t>
  </si>
  <si>
    <t xml:space="preserve">Customer delete cascade never ran</t>
  </si>
  <si>
    <t xml:space="preserve">Blocked by NEW-01. Executed for the first time in round 3; re-verified this round</t>
  </si>
  <si>
    <t xml:space="preserve">Fixed, verified round 4</t>
  </si>
  <si>
    <t xml:space="preserve">BUG-20</t>
  </si>
  <si>
    <t xml:space="preserve">Overdue was meaningless, then contradictory</t>
  </si>
  <si>
    <t xml:space="preserve">Ageing runs from lastPayment or lastPurchase or createdAt; gross, advance and net reported separately</t>
  </si>
  <si>
    <t xml:space="preserve">NEW-03</t>
  </si>
  <si>
    <t xml:space="preserve">Low</t>
  </si>
  <si>
    <t xml:space="preserve">rate: NaN written into every sale line</t>
  </si>
  <si>
    <t xml:space="preserve">Finite-checked toNum() on every numeric field</t>
  </si>
  <si>
    <t xml:space="preserve">NEW-04</t>
  </si>
  <si>
    <t xml:space="preserve">Mobile length unvalidated ('12' saved)</t>
  </si>
  <si>
    <t xml:space="preserve">7-15 digit range check</t>
  </si>
  <si>
    <t xml:space="preserve">NEW-05</t>
  </si>
  <si>
    <t xml:space="preserve">Global search could not find a bill</t>
  </si>
  <si>
    <t xml:space="preserve">searchSalesByBillNo() prefix query plus a Bills section</t>
  </si>
  <si>
    <t xml:space="preserve">BUG-18</t>
  </si>
  <si>
    <t xml:space="preserve">'1 transactions'</t>
  </si>
  <si>
    <t xml:space="preserve">Customers page now matches CustomersList's plural logic</t>
  </si>
  <si>
    <t xml:space="preserve">BUG-16</t>
  </si>
  <si>
    <t xml:space="preserve">Suppliers could not be deleted</t>
  </si>
  <si>
    <t xml:space="preserve">deleteSupplier() added, guarded like deleteItem</t>
  </si>
  <si>
    <t xml:space="preserve">Items whose category was deleted became unmanageable</t>
  </si>
  <si>
    <t xml:space="preserve">400 bags / Rs 3,60,000 counted in every total but rendered in no editable table. Both copies of the grouping replaced by utils/itemGrouping.js, which surfaces orphans</t>
  </si>
  <si>
    <t xml:space="preserve">Customer statement went stale after any deletion</t>
  </si>
  <si>
    <t xml:space="preserve">Stored balanceAfter was never rewritten on delete. Now derived on read in utils/ledgerBalance.js; repairs already-corrupted statements with no migration</t>
  </si>
  <si>
    <t xml:space="preserve">Future-dated transactions</t>
  </si>
  <si>
    <t xml:space="preserve">max= added to all five date inputs; three forms that had no save guard at all now refuse a future date</t>
  </si>
  <si>
    <t xml:space="preserve">R5-01</t>
  </si>
  <si>
    <t xml:space="preserve">An item could not be renamed</t>
  </si>
  <si>
    <t xml:space="preserve">AddItemModal set disabled on the Item Name field. Unlocked — and that is what exposed R4-D2. All three renames are now done</t>
  </si>
  <si>
    <t xml:space="preserve">Fixed, verified round 4 (post-deploy)</t>
  </si>
  <si>
    <t xml:space="preserve">name was never sent in the update payload</t>
  </si>
  <si>
    <t xml:space="preserve">isSupplier branch removed; balance now recomputed from the rows</t>
  </si>
  <si>
    <t xml:space="preserve">Every deploy risks a blank page</t>
  </si>
  <si>
    <t xml:space="preserve">Cache-Control added for index.html and /assets/**</t>
  </si>
  <si>
    <t xml:space="preserve">A category can be created but never deleted</t>
  </si>
  <si>
    <t xml:space="preserve">No deleteCategory exists anywhere</t>
  </si>
  <si>
    <t xml:space="preserve">D6-01</t>
  </si>
  <si>
    <t xml:space="preserve">Balance recompute hung the payment edit</t>
  </si>
  <si>
    <t xml:space="preserve">My own regression in 9e8c5b6: the ledger query ran inside the Firestore transaction and blocked. Read hoisted out in e9e44d2</t>
  </si>
  <si>
    <t xml:space="preserve">Counts</t>
  </si>
  <si>
    <t xml:space="preserve">Independent reconciliation of stock and money</t>
  </si>
  <si>
    <t xml:space="preserve">The point of this tab is that the app's own totals were never taken on trust. Each 'Re-summed' figure was recomputed row by row inside the live page; the Difference column is a live formula, so it stays honest if anyone edits this sheet.</t>
  </si>
  <si>
    <t xml:space="preserve">What was compared</t>
  </si>
  <si>
    <t xml:space="preserve">App's own total</t>
  </si>
  <si>
    <t xml:space="preserve">Re-summed by hand</t>
  </si>
  <si>
    <t xml:space="preserve">Difference</t>
  </si>
  <si>
    <t xml:space="preserve">Where</t>
  </si>
  <si>
    <t xml:space="preserve">Items in stock (count)</t>
  </si>
  <si>
    <t xml:space="preserve">Inventory header vs every rendered row</t>
  </si>
  <si>
    <t xml:space="preserve">Bags in stock</t>
  </si>
  <si>
    <t xml:space="preserve">Bags in stock — Current Stock Report</t>
  </si>
  <si>
    <t xml:space="preserve">Report total vs its own 18 rows</t>
  </si>
  <si>
    <t xml:space="preserve">Stock value (Rs)</t>
  </si>
  <si>
    <t xml:space="preserve">Current Stock Report total vs its 18 rows</t>
  </si>
  <si>
    <t xml:space="preserve">Stock Summary by Variety — items</t>
  </si>
  <si>
    <t xml:space="preserve">4+1+2+10+1 across the five stocked categories</t>
  </si>
  <si>
    <t xml:space="preserve">Stock Summary by Variety — bags</t>
  </si>
  <si>
    <t xml:space="preserve">5,963+1,038+874+422+4</t>
  </si>
  <si>
    <t xml:space="preserve">Customer outstanding (Rs)</t>
  </si>
  <si>
    <t xml:space="preserve">Customer-wise Balance total vs its 86 rows</t>
  </si>
  <si>
    <t xml:space="preserve">Sales in the range — bags</t>
  </si>
  <si>
    <t xml:space="preserve">Item-wise Sales vs Total Sales (Date-wise)</t>
  </si>
  <si>
    <t xml:space="preserve">Sales in the range (Rs)</t>
  </si>
  <si>
    <t xml:space="preserve">Total of all differences</t>
  </si>
  <si>
    <t xml:space="preserve">Anything other than zero means a screen is lying about a total.</t>
  </si>
  <si>
    <t xml:space="preserve">The one figure that does NOT reconcile</t>
  </si>
  <si>
    <t xml:space="preserve">Kalambur AMK, after the round 4 supplier payment edit (R4-D3). Recorded here as the damage this defect does, not as an arithmetic check — every figure below is wrong in a different way, which is exactly what makes the defect dangerous.</t>
  </si>
  <si>
    <t xml:space="preserve">Source</t>
  </si>
  <si>
    <t xml:space="preserve">Shows (Rs)</t>
  </si>
  <si>
    <t xml:space="preserve">Correct (Rs)</t>
  </si>
  <si>
    <t xml:space="preserve">Error (Rs)</t>
  </si>
  <si>
    <t xml:space="preserve">Why it differs</t>
  </si>
  <si>
    <t xml:space="preserve">Supplier header 'Balance Payable'</t>
  </si>
  <si>
    <t xml:space="preserve">Reduced by the full Rs 6,000 again on top of the original Rs 4,000</t>
  </si>
  <si>
    <t xml:space="preserve">Supplier statement, latest row</t>
  </si>
  <si>
    <t xml:space="preserve">Row carries debit 6,000 AND credit 4,000, so it adds instead of subtracting</t>
  </si>
  <si>
    <t xml:space="preserve">Supplier Balance Report, 'paid'</t>
  </si>
  <si>
    <t xml:space="preserve">Sums both sides of the corrupted row</t>
  </si>
  <si>
    <t xml:space="preserve">Reports page tile</t>
  </si>
  <si>
    <t xml:space="preserve">Reads the same corrupted stored balance as the header</t>
  </si>
  <si>
    <t xml:space="preserve">This self-repairs once 9e8c5b6 is deployed, on the next edit or delete of that payment, because the balance is then recomputed from the rows rather than adjusted by a delta.</t>
  </si>
  <si>
    <t xml:space="preserve">What is left, and who has to do it</t>
  </si>
  <si>
    <t xml:space="preserve">Nothing in this list can be done from this session: the deploy endpoints (googleapis.com) are unreachable from both available shells.</t>
  </si>
  <si>
    <t xml:space="preserve">#</t>
  </si>
  <si>
    <t xml:space="preserve">Item</t>
  </si>
  <si>
    <t xml:space="preserve">Detail</t>
  </si>
  <si>
    <t xml:space="preserve">Owner</t>
  </si>
  <si>
    <t xml:space="preserve">Deploy the three commits</t>
  </si>
  <si>
    <t xml:space="preserve">ed8a500, d109cd0, 9e8c5b6. From the project folder: npm run build &amp;&amp; firebase deploy --only hosting. The firebase.json change means the headers ship with this deploy too.</t>
  </si>
  <si>
    <t xml:space="preserve">You — terminal</t>
  </si>
  <si>
    <t xml:space="preserve">Rename the three 'Hmt Boiled' records</t>
  </si>
  <si>
    <t xml:space="preserve">Carshed (774) and Godown (1,038) so all three are distinct. Blocked until the deploy, because every item save currently fails. Note the Carshed record's stored name has a trailing space, which the rename will trim. Order matters: while duplicates exist none of them can be saved unchanged, so rename first, then any other edit works.</t>
  </si>
  <si>
    <t xml:space="preserve">Me — after the deploy</t>
  </si>
  <si>
    <t xml:space="preserve">Delete the two zero-stock Sona Raw records</t>
  </si>
  <si>
    <t xml:space="preserve">'Sona Raw' and 'sona raw', both 0 bags, left from round 1 testing. Same blocker.</t>
  </si>
  <si>
    <t xml:space="preserve">Repair Kalambur AMK</t>
  </si>
  <si>
    <t xml:space="preserve">Edit or delete the Rs 6,000 payment once deployed; the recompute corrects the balance. Currently showing Rs 1,000 against a true Rs 5,000.</t>
  </si>
  <si>
    <t xml:space="preserve">Remove the leftover 'ZZ Test Cat' category</t>
  </si>
  <si>
    <t xml:space="preserve">Created while testing R4-D4 and now unremovable from inside the app — which is the defect. Empty and harmless, but it needs a Firebase Console delete.</t>
  </si>
  <si>
    <t xml:space="preserve">You — Firebase Console</t>
  </si>
  <si>
    <t xml:space="preserve">Decide what a category delete should do</t>
  </si>
  <si>
    <t xml:space="preserve">Block while any item points at it, or force re-pointing first? Needed before R4-D4 can be closed.</t>
  </si>
  <si>
    <t xml:space="preserve">Client decision</t>
  </si>
  <si>
    <t xml:space="preserve">Rotate the Firebase test password</t>
  </si>
  <si>
    <t xml:space="preserve">.env.test was committed and the repo was public for a period. Deleting the file does not remove it from git history, so rotating the password is the only real fix.</t>
  </si>
  <si>
    <t xml:space="preserve">You / the client</t>
  </si>
  <si>
    <t xml:space="preserve">Decide three open requirement conflicts</t>
  </si>
  <si>
    <t xml:space="preserve">deleteItem refuses an item with sale or purchase history; deleteSupplier refuses one with purchases; only the most recent payment is editable. The client's notes ask for deletion 'at any time'. Each has a real cost — historic bills pointing at nothing, or recomputing every later balance.</t>
  </si>
  <si>
    <t xml:space="preserve">Smaller things worth knowing</t>
  </si>
  <si>
    <t xml:space="preserve">Not defects. Recorded because each is a decision someone may want to make, or a trap for whoever tests this next.</t>
  </si>
  <si>
    <t xml:space="preserve">'Last Updated' never moves for a sale</t>
  </si>
  <si>
    <t xml:space="preserve">A purchase moved Motta Raw's Last Updated to 07 Sept 12:38 pm. The sale and the sale edit did not move Sona Raw's, though its stock went 260→256→254. So that column means 'last purchased or adjusted', never 'last sold'. Anyone reading it to find recent movement will miss sales entirely.</t>
  </si>
  <si>
    <t xml:space="preserve">A bill-linked payment can be deleted but not edited</t>
  </si>
  <si>
    <t xml:space="preserve">On the supplier ledger the standalone payment offers Edit and Delete; the payment tied to PUR-2026-0001 offers Delete only. Correcting a typo in a bill-linked payment therefore forces a delete-and-recreate — the destructive path the client's notes were trying to avoid.</t>
  </si>
  <si>
    <t xml:space="preserve">The payment edit modal has no date field</t>
  </si>
  <si>
    <t xml:space="preserve">Amount, mode and note can be corrected. The payment date cannot.</t>
  </si>
  <si>
    <t xml:space="preserve">Duplicate item names are visible everywhere</t>
  </si>
  <si>
    <t xml:space="preserve">The Dashboard's Stock by Variety, the sale item picker and the purchase item picker all show HMT Boiled / Hmt Boiled / Hmt Boiled and Sona Raw / Sona Raw / sona raw with nothing to tell them apart beyond stock count. This is the risk the rename was meant to remove and it is still live.</t>
  </si>
  <si>
    <t xml:space="preserve">A double submit can hang a payment</t>
  </si>
  <si>
    <t xml:space="preserve">Submitting the customer payment form twice in quick succession left the button stuck on 'Recording...' and wrote nothing — two concurrent transactions contending. Caused by the test script, not reachable by a normal user: the UI already disables the button while submitting. Nothing was written and no partial state resulted. Recorded, not raised.</t>
  </si>
  <si>
    <t xml:space="preserve">The 'edited' marker is a good touch</t>
  </si>
  <si>
    <t xml:space="preserve">A bill that has been edited shows as 'Bill SKB-2026-0029 (edited)' in the customer statement. Worth keeping.</t>
  </si>
  <si>
    <t xml:space="preserve">Opening and closing balance rows are correct</t>
  </si>
  <si>
    <t xml:space="preserve">The ledger date filter brackets the period with Opening and Closing rows, and every transaction between them carries one figure to the other exactly. Checked row by row on 15 Aug.</t>
  </si>
</sst>
</file>

<file path=xl/styles.xml><?xml version="1.0" encoding="utf-8"?>
<styleSheet xmlns="http://schemas.openxmlformats.org/spreadsheetml/2006/main">
  <numFmts count="4">
    <numFmt numFmtId="164" formatCode="General"/>
    <numFmt numFmtId="165" formatCode="General"/>
    <numFmt numFmtId="166" formatCode="#,##0"/>
    <numFmt numFmtId="167" formatCode="#,##0;\(#,##0\)"/>
  </numFmts>
  <fonts count="1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0"/>
      <name val="Arial"/>
      <family val="0"/>
      <charset val="1"/>
    </font>
    <font>
      <sz val="10"/>
      <name val="Arial"/>
      <family val="0"/>
      <charset val="1"/>
    </font>
    <font>
      <b val="true"/>
      <sz val="10"/>
      <color rgb="FFFFFFFF"/>
      <name val="Arial"/>
      <family val="0"/>
      <charset val="1"/>
    </font>
    <font>
      <i val="true"/>
      <sz val="1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E2EFDA"/>
        <bgColor rgb="FFEDEDED"/>
      </patternFill>
    </fill>
    <fill>
      <patternFill patternType="solid">
        <fgColor rgb="FFFCE4E4"/>
        <bgColor rgb="FFEDEDED"/>
      </patternFill>
    </fill>
    <fill>
      <patternFill patternType="solid">
        <fgColor rgb="FFFFF2CC"/>
        <bgColor rgb="FFFCE4E4"/>
      </patternFill>
    </fill>
    <fill>
      <patternFill patternType="solid">
        <fgColor rgb="FFEDEDED"/>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false" indent="0" shrinkToFit="false"/>
      <protection locked="true" hidden="false"/>
    </xf>
    <xf numFmtId="164" fontId="6" fillId="4"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false" indent="0" shrinkToFit="false"/>
      <protection locked="true" hidden="false"/>
    </xf>
    <xf numFmtId="164" fontId="6" fillId="6" borderId="1" xfId="0" applyFont="true" applyBorder="true" applyAlignment="true" applyProtection="false">
      <alignment horizontal="general" vertical="top" textRotation="0" wrapText="false" indent="0" shrinkToFit="false"/>
      <protection locked="true" hidden="false"/>
    </xf>
    <xf numFmtId="164" fontId="6" fillId="5" borderId="0" xfId="0" applyFont="true" applyBorder="fals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4" borderId="1" xfId="0" applyFont="true" applyBorder="true" applyAlignment="true" applyProtection="false">
      <alignment horizontal="center"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center" vertical="top" textRotation="0" wrapText="false" indent="0" shrinkToFit="false"/>
      <protection locked="true" hidden="false"/>
    </xf>
    <xf numFmtId="164" fontId="7" fillId="5" borderId="1" xfId="0" applyFont="true" applyBorder="true" applyAlignment="true" applyProtection="false">
      <alignment horizontal="center"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center" vertical="top" textRotation="0" wrapText="false" indent="0" shrinkToFit="false"/>
      <protection locked="true" hidden="false"/>
    </xf>
    <xf numFmtId="164" fontId="6" fillId="4" borderId="0" xfId="0" applyFont="true" applyBorder="false" applyAlignment="tru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general" vertical="top" textRotation="0" wrapText="false" indent="0" shrinkToFit="false"/>
      <protection locked="true" hidden="false"/>
    </xf>
    <xf numFmtId="167" fontId="6" fillId="4" borderId="1" xfId="0" applyFont="true" applyBorder="true" applyAlignment="true" applyProtection="false">
      <alignment horizontal="general" vertical="top"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ED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6"/>
    <col collapsed="false" customWidth="true" hidden="false" outlineLevel="0" max="3" min="3" style="1" width="78"/>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row>
    <row r="5" customFormat="false" ht="30" hidden="false" customHeight="true" outlineLevel="0" collapsed="false">
      <c r="A5" s="5" t="s">
        <v>3</v>
      </c>
      <c r="B5" s="5"/>
      <c r="C5" s="5"/>
    </row>
    <row r="7" customFormat="false" ht="15" hidden="false" customHeight="true" outlineLevel="0" collapsed="false">
      <c r="A7" s="6" t="s">
        <v>4</v>
      </c>
      <c r="B7" s="6" t="s">
        <v>5</v>
      </c>
      <c r="C7" s="6" t="s">
        <v>6</v>
      </c>
    </row>
    <row r="8" customFormat="false" ht="15" hidden="false" customHeight="true" outlineLevel="0" collapsed="false">
      <c r="A8" s="7" t="s">
        <v>7</v>
      </c>
      <c r="B8" s="8" t="n">
        <f aca="false">COUNTA('Round 4 results'!$E$4:$E$27)</f>
        <v>24</v>
      </c>
      <c r="C8" s="9" t="s">
        <v>8</v>
      </c>
    </row>
    <row r="9" customFormat="false" ht="15" hidden="false" customHeight="true" outlineLevel="0" collapsed="false">
      <c r="A9" s="7" t="s">
        <v>9</v>
      </c>
      <c r="B9" s="8" t="n">
        <f aca="false">COUNTIF('Round 4 results'!$E$4:$E$27,"PASS")</f>
        <v>19</v>
      </c>
      <c r="C9" s="9" t="s">
        <v>10</v>
      </c>
    </row>
    <row r="10" customFormat="false" ht="15" hidden="false" customHeight="true" outlineLevel="0" collapsed="false">
      <c r="A10" s="7" t="s">
        <v>11</v>
      </c>
      <c r="B10" s="8" t="n">
        <f aca="false">COUNTIF('Round 4 results'!$E$4:$E$27,"FAIL")</f>
        <v>5</v>
      </c>
      <c r="C10" s="9" t="s">
        <v>10</v>
      </c>
    </row>
    <row r="11" customFormat="false" ht="15" hidden="false" customHeight="true" outlineLevel="0" collapsed="false">
      <c r="A11" s="7" t="s">
        <v>12</v>
      </c>
      <c r="B11" s="8" t="n">
        <f aca="false">COUNTIF('Round 4 results'!$E$4:$E$27,"BLOCKED")</f>
        <v>0</v>
      </c>
      <c r="C11" s="9" t="s">
        <v>10</v>
      </c>
    </row>
    <row r="12" customFormat="false" ht="15" hidden="false" customHeight="true" outlineLevel="0" collapsed="false">
      <c r="A12" s="7" t="s">
        <v>13</v>
      </c>
      <c r="B12" s="8" t="n">
        <f aca="false">COUNTA(Defects!$A$4:$A$7)</f>
        <v>4</v>
      </c>
      <c r="C12" s="9" t="s">
        <v>10</v>
      </c>
    </row>
    <row r="13" customFormat="false" ht="15" hidden="false" customHeight="true" outlineLevel="0" collapsed="false">
      <c r="A13" s="7" t="s">
        <v>14</v>
      </c>
      <c r="B13" s="8" t="n">
        <v>92</v>
      </c>
      <c r="C13" s="9" t="s">
        <v>15</v>
      </c>
    </row>
    <row r="15" customFormat="false" ht="15" hidden="false" customHeight="true" outlineLevel="0" collapsed="false">
      <c r="A15" s="4" t="s">
        <v>16</v>
      </c>
    </row>
    <row r="16" customFormat="false" ht="15" hidden="false" customHeight="true" outlineLevel="0" collapsed="false">
      <c r="A16" s="10" t="s">
        <v>17</v>
      </c>
      <c r="B16" s="11" t="s">
        <v>18</v>
      </c>
      <c r="C16" s="11"/>
    </row>
    <row r="17" customFormat="false" ht="30" hidden="false" customHeight="true" outlineLevel="0" collapsed="false">
      <c r="B17" s="5" t="s">
        <v>19</v>
      </c>
      <c r="C17" s="5"/>
    </row>
    <row r="19" customFormat="false" ht="15" hidden="false" customHeight="true" outlineLevel="0" collapsed="false">
      <c r="A19" s="10" t="s">
        <v>17</v>
      </c>
      <c r="B19" s="11" t="s">
        <v>20</v>
      </c>
      <c r="C19" s="11"/>
    </row>
    <row r="20" customFormat="false" ht="30" hidden="false" customHeight="true" outlineLevel="0" collapsed="false">
      <c r="B20" s="5" t="s">
        <v>21</v>
      </c>
      <c r="C20" s="5"/>
    </row>
    <row r="22" customFormat="false" ht="15" hidden="false" customHeight="true" outlineLevel="0" collapsed="false">
      <c r="A22" s="10" t="s">
        <v>17</v>
      </c>
      <c r="B22" s="11" t="s">
        <v>22</v>
      </c>
      <c r="C22" s="11"/>
    </row>
    <row r="23" customFormat="false" ht="30" hidden="false" customHeight="true" outlineLevel="0" collapsed="false">
      <c r="B23" s="5" t="s">
        <v>23</v>
      </c>
      <c r="C23" s="5"/>
    </row>
    <row r="25" customFormat="false" ht="15" hidden="false" customHeight="true" outlineLevel="0" collapsed="false">
      <c r="A25" s="10" t="s">
        <v>17</v>
      </c>
      <c r="B25" s="11" t="s">
        <v>24</v>
      </c>
      <c r="C25" s="11"/>
    </row>
    <row r="26" customFormat="false" ht="30" hidden="false" customHeight="true" outlineLevel="0" collapsed="false">
      <c r="B26" s="5" t="s">
        <v>25</v>
      </c>
      <c r="C26" s="5"/>
    </row>
  </sheetData>
  <mergeCells count="9">
    <mergeCell ref="A5:C5"/>
    <mergeCell ref="B16:C16"/>
    <mergeCell ref="B17:C17"/>
    <mergeCell ref="B19:C19"/>
    <mergeCell ref="B20:C20"/>
    <mergeCell ref="B22:C22"/>
    <mergeCell ref="B23:C23"/>
    <mergeCell ref="B25:C25"/>
    <mergeCell ref="B26:C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0"/>
    <col collapsed="false" customWidth="true" hidden="false" outlineLevel="0" max="3" min="3" style="1" width="46"/>
    <col collapsed="false" customWidth="true" hidden="false" outlineLevel="0" max="4" min="4" style="1" width="62"/>
    <col collapsed="false" customWidth="true" hidden="false" outlineLevel="0" max="5" min="5" style="1" width="12"/>
    <col collapsed="false" customWidth="true" hidden="false" outlineLevel="0" max="6" min="6" style="1" width="40"/>
  </cols>
  <sheetData>
    <row r="1" customFormat="false" ht="17.25" hidden="false" customHeight="true" outlineLevel="0" collapsed="false">
      <c r="A1" s="2" t="s">
        <v>26</v>
      </c>
    </row>
    <row r="2" customFormat="false" ht="15" hidden="false" customHeight="true" outlineLevel="0" collapsed="false">
      <c r="A2" s="3" t="s">
        <v>27</v>
      </c>
    </row>
    <row r="3" customFormat="false" ht="15" hidden="false" customHeight="true" outlineLevel="0" collapsed="false">
      <c r="A3" s="6" t="s">
        <v>28</v>
      </c>
      <c r="B3" s="6" t="s">
        <v>29</v>
      </c>
      <c r="C3" s="6" t="s">
        <v>30</v>
      </c>
      <c r="D3" s="6" t="s">
        <v>31</v>
      </c>
      <c r="E3" s="6" t="s">
        <v>32</v>
      </c>
      <c r="F3" s="6" t="s">
        <v>33</v>
      </c>
    </row>
    <row r="4" customFormat="false" ht="42" hidden="false" customHeight="true" outlineLevel="0" collapsed="false">
      <c r="A4" s="12" t="s">
        <v>34</v>
      </c>
      <c r="B4" s="12" t="s">
        <v>35</v>
      </c>
      <c r="C4" s="9" t="s">
        <v>36</v>
      </c>
      <c r="D4" s="9" t="s">
        <v>37</v>
      </c>
      <c r="E4" s="13" t="s">
        <v>38</v>
      </c>
      <c r="F4" s="9"/>
    </row>
    <row r="5" customFormat="false" ht="42" hidden="false" customHeight="true" outlineLevel="0" collapsed="false">
      <c r="A5" s="12" t="s">
        <v>39</v>
      </c>
      <c r="B5" s="12" t="s">
        <v>40</v>
      </c>
      <c r="C5" s="9" t="s">
        <v>41</v>
      </c>
      <c r="D5" s="9" t="s">
        <v>42</v>
      </c>
      <c r="E5" s="13" t="s">
        <v>38</v>
      </c>
      <c r="F5" s="9" t="s">
        <v>43</v>
      </c>
    </row>
    <row r="6" customFormat="false" ht="42" hidden="false" customHeight="true" outlineLevel="0" collapsed="false">
      <c r="A6" s="12" t="s">
        <v>44</v>
      </c>
      <c r="B6" s="12" t="s">
        <v>45</v>
      </c>
      <c r="C6" s="9" t="s">
        <v>46</v>
      </c>
      <c r="D6" s="9" t="s">
        <v>47</v>
      </c>
      <c r="E6" s="13" t="s">
        <v>38</v>
      </c>
      <c r="F6" s="9"/>
    </row>
    <row r="7" customFormat="false" ht="42" hidden="false" customHeight="true" outlineLevel="0" collapsed="false">
      <c r="A7" s="12" t="s">
        <v>48</v>
      </c>
      <c r="B7" s="12" t="s">
        <v>45</v>
      </c>
      <c r="C7" s="9" t="s">
        <v>49</v>
      </c>
      <c r="D7" s="9" t="s">
        <v>50</v>
      </c>
      <c r="E7" s="13" t="s">
        <v>38</v>
      </c>
      <c r="F7" s="9"/>
    </row>
    <row r="8" customFormat="false" ht="42" hidden="false" customHeight="true" outlineLevel="0" collapsed="false">
      <c r="A8" s="12" t="s">
        <v>51</v>
      </c>
      <c r="B8" s="12" t="s">
        <v>52</v>
      </c>
      <c r="C8" s="9" t="s">
        <v>53</v>
      </c>
      <c r="D8" s="9" t="s">
        <v>54</v>
      </c>
      <c r="E8" s="13" t="s">
        <v>38</v>
      </c>
      <c r="F8" s="9"/>
    </row>
    <row r="9" customFormat="false" ht="42" hidden="false" customHeight="true" outlineLevel="0" collapsed="false">
      <c r="A9" s="12" t="s">
        <v>55</v>
      </c>
      <c r="B9" s="12" t="s">
        <v>56</v>
      </c>
      <c r="C9" s="9" t="s">
        <v>57</v>
      </c>
      <c r="D9" s="9" t="s">
        <v>58</v>
      </c>
      <c r="E9" s="13" t="s">
        <v>38</v>
      </c>
      <c r="F9" s="9"/>
    </row>
    <row r="10" customFormat="false" ht="42" hidden="false" customHeight="true" outlineLevel="0" collapsed="false">
      <c r="A10" s="12" t="s">
        <v>59</v>
      </c>
      <c r="B10" s="12" t="s">
        <v>56</v>
      </c>
      <c r="C10" s="9" t="s">
        <v>60</v>
      </c>
      <c r="D10" s="9" t="s">
        <v>61</v>
      </c>
      <c r="E10" s="13" t="s">
        <v>38</v>
      </c>
      <c r="F10" s="9" t="s">
        <v>62</v>
      </c>
    </row>
    <row r="11" customFormat="false" ht="42" hidden="false" customHeight="true" outlineLevel="0" collapsed="false">
      <c r="A11" s="12" t="s">
        <v>63</v>
      </c>
      <c r="B11" s="12" t="s">
        <v>64</v>
      </c>
      <c r="C11" s="9" t="s">
        <v>65</v>
      </c>
      <c r="D11" s="9" t="s">
        <v>66</v>
      </c>
      <c r="E11" s="13" t="s">
        <v>38</v>
      </c>
      <c r="F11" s="9" t="s">
        <v>67</v>
      </c>
    </row>
    <row r="12" customFormat="false" ht="42" hidden="false" customHeight="true" outlineLevel="0" collapsed="false">
      <c r="A12" s="12" t="s">
        <v>68</v>
      </c>
      <c r="B12" s="12" t="s">
        <v>64</v>
      </c>
      <c r="C12" s="9" t="s">
        <v>69</v>
      </c>
      <c r="D12" s="9" t="s">
        <v>70</v>
      </c>
      <c r="E12" s="13" t="s">
        <v>38</v>
      </c>
      <c r="F12" s="9"/>
    </row>
    <row r="13" customFormat="false" ht="42" hidden="false" customHeight="true" outlineLevel="0" collapsed="false">
      <c r="A13" s="12" t="s">
        <v>71</v>
      </c>
      <c r="B13" s="12" t="s">
        <v>64</v>
      </c>
      <c r="C13" s="9" t="s">
        <v>72</v>
      </c>
      <c r="D13" s="9" t="s">
        <v>73</v>
      </c>
      <c r="E13" s="14" t="s">
        <v>74</v>
      </c>
      <c r="F13" s="9" t="s">
        <v>75</v>
      </c>
    </row>
    <row r="14" customFormat="false" ht="42" hidden="false" customHeight="true" outlineLevel="0" collapsed="false">
      <c r="A14" s="12" t="s">
        <v>76</v>
      </c>
      <c r="B14" s="12" t="s">
        <v>77</v>
      </c>
      <c r="C14" s="9" t="s">
        <v>78</v>
      </c>
      <c r="D14" s="9" t="s">
        <v>79</v>
      </c>
      <c r="E14" s="14" t="s">
        <v>74</v>
      </c>
      <c r="F14" s="9" t="s">
        <v>75</v>
      </c>
    </row>
    <row r="15" customFormat="false" ht="42" hidden="false" customHeight="true" outlineLevel="0" collapsed="false">
      <c r="A15" s="12" t="s">
        <v>80</v>
      </c>
      <c r="B15" s="12" t="s">
        <v>81</v>
      </c>
      <c r="C15" s="9" t="s">
        <v>82</v>
      </c>
      <c r="D15" s="9" t="s">
        <v>83</v>
      </c>
      <c r="E15" s="14" t="s">
        <v>74</v>
      </c>
      <c r="F15" s="9" t="s">
        <v>84</v>
      </c>
    </row>
    <row r="16" customFormat="false" ht="42" hidden="false" customHeight="true" outlineLevel="0" collapsed="false">
      <c r="A16" s="12" t="s">
        <v>85</v>
      </c>
      <c r="B16" s="12" t="s">
        <v>86</v>
      </c>
      <c r="C16" s="9" t="s">
        <v>87</v>
      </c>
      <c r="D16" s="9" t="s">
        <v>88</v>
      </c>
      <c r="E16" s="14" t="s">
        <v>74</v>
      </c>
      <c r="F16" s="9" t="s">
        <v>89</v>
      </c>
    </row>
    <row r="17" customFormat="false" ht="42" hidden="false" customHeight="true" outlineLevel="0" collapsed="false">
      <c r="A17" s="12" t="s">
        <v>90</v>
      </c>
      <c r="B17" s="12" t="s">
        <v>77</v>
      </c>
      <c r="C17" s="9" t="s">
        <v>91</v>
      </c>
      <c r="D17" s="9" t="s">
        <v>92</v>
      </c>
      <c r="E17" s="13" t="s">
        <v>38</v>
      </c>
      <c r="F17" s="9"/>
    </row>
    <row r="18" customFormat="false" ht="42" hidden="false" customHeight="true" outlineLevel="0" collapsed="false">
      <c r="A18" s="12" t="s">
        <v>93</v>
      </c>
      <c r="B18" s="12" t="s">
        <v>77</v>
      </c>
      <c r="C18" s="9" t="s">
        <v>94</v>
      </c>
      <c r="D18" s="9" t="s">
        <v>95</v>
      </c>
      <c r="E18" s="13" t="s">
        <v>38</v>
      </c>
      <c r="F18" s="9" t="s">
        <v>43</v>
      </c>
    </row>
    <row r="19" customFormat="false" ht="42" hidden="false" customHeight="true" outlineLevel="0" collapsed="false">
      <c r="A19" s="12" t="s">
        <v>96</v>
      </c>
      <c r="B19" s="12" t="s">
        <v>77</v>
      </c>
      <c r="C19" s="9" t="s">
        <v>97</v>
      </c>
      <c r="D19" s="9" t="s">
        <v>98</v>
      </c>
      <c r="E19" s="13" t="s">
        <v>38</v>
      </c>
      <c r="F19" s="9"/>
    </row>
    <row r="20" customFormat="false" ht="42" hidden="false" customHeight="true" outlineLevel="0" collapsed="false">
      <c r="A20" s="12" t="s">
        <v>99</v>
      </c>
      <c r="B20" s="12" t="s">
        <v>77</v>
      </c>
      <c r="C20" s="9" t="s">
        <v>100</v>
      </c>
      <c r="D20" s="9" t="s">
        <v>101</v>
      </c>
      <c r="E20" s="13" t="s">
        <v>38</v>
      </c>
      <c r="F20" s="9"/>
    </row>
    <row r="21" customFormat="false" ht="42" hidden="false" customHeight="true" outlineLevel="0" collapsed="false">
      <c r="A21" s="12" t="s">
        <v>102</v>
      </c>
      <c r="B21" s="12" t="s">
        <v>77</v>
      </c>
      <c r="C21" s="9" t="s">
        <v>103</v>
      </c>
      <c r="D21" s="9" t="s">
        <v>104</v>
      </c>
      <c r="E21" s="13" t="s">
        <v>38</v>
      </c>
      <c r="F21" s="9"/>
    </row>
    <row r="22" customFormat="false" ht="42" hidden="false" customHeight="true" outlineLevel="0" collapsed="false">
      <c r="A22" s="12" t="s">
        <v>105</v>
      </c>
      <c r="B22" s="12" t="s">
        <v>106</v>
      </c>
      <c r="C22" s="9" t="s">
        <v>107</v>
      </c>
      <c r="D22" s="9" t="s">
        <v>108</v>
      </c>
      <c r="E22" s="13" t="s">
        <v>38</v>
      </c>
      <c r="F22" s="9" t="s">
        <v>67</v>
      </c>
    </row>
    <row r="23" customFormat="false" ht="42" hidden="false" customHeight="true" outlineLevel="0" collapsed="false">
      <c r="A23" s="12" t="s">
        <v>109</v>
      </c>
      <c r="B23" s="12" t="s">
        <v>45</v>
      </c>
      <c r="C23" s="9" t="s">
        <v>110</v>
      </c>
      <c r="D23" s="9" t="s">
        <v>111</v>
      </c>
      <c r="E23" s="13" t="s">
        <v>38</v>
      </c>
      <c r="F23" s="9"/>
    </row>
    <row r="24" customFormat="false" ht="42" hidden="false" customHeight="true" outlineLevel="0" collapsed="false">
      <c r="A24" s="12" t="s">
        <v>112</v>
      </c>
      <c r="B24" s="12" t="s">
        <v>106</v>
      </c>
      <c r="C24" s="9" t="s">
        <v>113</v>
      </c>
      <c r="D24" s="9" t="s">
        <v>114</v>
      </c>
      <c r="E24" s="13" t="s">
        <v>38</v>
      </c>
      <c r="F24" s="9" t="s">
        <v>115</v>
      </c>
    </row>
    <row r="25" customFormat="false" ht="42" hidden="false" customHeight="true" outlineLevel="0" collapsed="false">
      <c r="A25" s="12" t="s">
        <v>116</v>
      </c>
      <c r="B25" s="12" t="s">
        <v>81</v>
      </c>
      <c r="C25" s="9" t="s">
        <v>117</v>
      </c>
      <c r="D25" s="9" t="s">
        <v>118</v>
      </c>
      <c r="E25" s="13" t="s">
        <v>38</v>
      </c>
      <c r="F25" s="9"/>
    </row>
    <row r="26" customFormat="false" ht="42" hidden="false" customHeight="true" outlineLevel="0" collapsed="false">
      <c r="A26" s="12" t="s">
        <v>119</v>
      </c>
      <c r="B26" s="12" t="s">
        <v>81</v>
      </c>
      <c r="C26" s="9" t="s">
        <v>120</v>
      </c>
      <c r="D26" s="9" t="s">
        <v>121</v>
      </c>
      <c r="E26" s="14" t="s">
        <v>74</v>
      </c>
      <c r="F26" s="9" t="s">
        <v>122</v>
      </c>
    </row>
    <row r="27" customFormat="false" ht="42" hidden="false" customHeight="true" outlineLevel="0" collapsed="false">
      <c r="A27" s="12" t="s">
        <v>123</v>
      </c>
      <c r="B27" s="12" t="s">
        <v>52</v>
      </c>
      <c r="C27" s="9" t="s">
        <v>124</v>
      </c>
      <c r="D27" s="9" t="s">
        <v>125</v>
      </c>
      <c r="E27" s="13" t="s">
        <v>38</v>
      </c>
      <c r="F27" s="9"/>
    </row>
    <row r="29" customFormat="false" ht="15" hidden="false" customHeight="true" outlineLevel="0" collapsed="false">
      <c r="A29" s="4" t="s">
        <v>126</v>
      </c>
      <c r="C29" s="4" t="str">
        <f aca="false">CONCATENATE(COUNTIF(E4:E27,"PASS")," pass / ",COUNTIF(E4:E27,"FAIL")," fail of ",COUNTA(E4:E27)," executed")</f>
        <v>19 pass / 5 fail of 24 executed</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2"/>
    <col collapsed="false" customWidth="true" hidden="false" outlineLevel="0" max="3" min="3" style="1" width="34"/>
    <col collapsed="false" customWidth="true" hidden="false" outlineLevel="0" max="5" min="4" style="1" width="70"/>
    <col collapsed="false" customWidth="true" hidden="false" outlineLevel="0" max="6" min="6" style="1" width="22"/>
  </cols>
  <sheetData>
    <row r="1" customFormat="false" ht="17.25" hidden="false" customHeight="true" outlineLevel="0" collapsed="false">
      <c r="A1" s="2" t="s">
        <v>127</v>
      </c>
    </row>
    <row r="2" customFormat="false" ht="15" hidden="false" customHeight="true" outlineLevel="0" collapsed="false">
      <c r="A2" s="3" t="s">
        <v>128</v>
      </c>
    </row>
    <row r="3" customFormat="false" ht="15" hidden="false" customHeight="true" outlineLevel="0" collapsed="false">
      <c r="A3" s="6" t="s">
        <v>28</v>
      </c>
      <c r="B3" s="6" t="s">
        <v>129</v>
      </c>
      <c r="C3" s="6" t="s">
        <v>130</v>
      </c>
      <c r="D3" s="6" t="s">
        <v>131</v>
      </c>
      <c r="E3" s="6" t="s">
        <v>132</v>
      </c>
      <c r="F3" s="6" t="s">
        <v>133</v>
      </c>
    </row>
    <row r="4" customFormat="false" ht="115.5" hidden="false" customHeight="true" outlineLevel="0" collapsed="false">
      <c r="A4" s="8" t="s">
        <v>84</v>
      </c>
      <c r="B4" s="14" t="s">
        <v>134</v>
      </c>
      <c r="C4" s="15" t="s">
        <v>135</v>
      </c>
      <c r="D4" s="9" t="s">
        <v>136</v>
      </c>
      <c r="E4" s="9" t="s">
        <v>137</v>
      </c>
      <c r="F4" s="9" t="s">
        <v>138</v>
      </c>
    </row>
    <row r="5" customFormat="false" ht="115.5" hidden="false" customHeight="true" outlineLevel="0" collapsed="false">
      <c r="A5" s="8" t="s">
        <v>75</v>
      </c>
      <c r="B5" s="14" t="s">
        <v>134</v>
      </c>
      <c r="C5" s="15" t="s">
        <v>139</v>
      </c>
      <c r="D5" s="9" t="s">
        <v>140</v>
      </c>
      <c r="E5" s="9" t="s">
        <v>141</v>
      </c>
      <c r="F5" s="9" t="s">
        <v>142</v>
      </c>
    </row>
    <row r="6" customFormat="false" ht="115.5" hidden="false" customHeight="true" outlineLevel="0" collapsed="false">
      <c r="A6" s="8" t="s">
        <v>89</v>
      </c>
      <c r="B6" s="16" t="s">
        <v>143</v>
      </c>
      <c r="C6" s="15" t="s">
        <v>144</v>
      </c>
      <c r="D6" s="9" t="s">
        <v>145</v>
      </c>
      <c r="E6" s="9" t="s">
        <v>146</v>
      </c>
      <c r="F6" s="9" t="s">
        <v>138</v>
      </c>
    </row>
    <row r="7" customFormat="false" ht="115.5" hidden="false" customHeight="true" outlineLevel="0" collapsed="false">
      <c r="A7" s="8" t="s">
        <v>122</v>
      </c>
      <c r="B7" s="17" t="s">
        <v>147</v>
      </c>
      <c r="C7" s="15" t="s">
        <v>148</v>
      </c>
      <c r="D7" s="9" t="s">
        <v>149</v>
      </c>
      <c r="E7" s="9" t="s">
        <v>150</v>
      </c>
      <c r="F7" s="9" t="s">
        <v>151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34"/>
    <col collapsed="false" customWidth="true" hidden="false" outlineLevel="0" max="4" min="3" style="1" width="52"/>
    <col collapsed="false" customWidth="true" hidden="false" outlineLevel="0" max="5" min="5" style="1" width="12"/>
  </cols>
  <sheetData>
    <row r="1" customFormat="false" ht="17.25" hidden="false" customHeight="true" outlineLevel="0" collapsed="false">
      <c r="A1" s="2" t="s">
        <v>152</v>
      </c>
    </row>
    <row r="2" customFormat="false" ht="15" hidden="false" customHeight="true" outlineLevel="0" collapsed="false">
      <c r="A2" s="3" t="s">
        <v>153</v>
      </c>
    </row>
    <row r="4" customFormat="false" ht="15" hidden="false" customHeight="true" outlineLevel="0" collapsed="false">
      <c r="A4" s="6" t="s">
        <v>28</v>
      </c>
      <c r="B4" s="6" t="s">
        <v>154</v>
      </c>
      <c r="C4" s="6" t="s">
        <v>155</v>
      </c>
      <c r="D4" s="6" t="s">
        <v>156</v>
      </c>
      <c r="E4" s="6" t="s">
        <v>32</v>
      </c>
    </row>
    <row r="5" customFormat="false" ht="45.75" hidden="false" customHeight="true" outlineLevel="0" collapsed="false">
      <c r="A5" s="12" t="s">
        <v>89</v>
      </c>
      <c r="B5" s="15" t="s">
        <v>157</v>
      </c>
      <c r="C5" s="9" t="s">
        <v>158</v>
      </c>
      <c r="D5" s="9" t="s">
        <v>159</v>
      </c>
      <c r="E5" s="13" t="s">
        <v>38</v>
      </c>
    </row>
    <row r="6" customFormat="false" ht="45.75" hidden="false" customHeight="true" outlineLevel="0" collapsed="false">
      <c r="A6" s="12" t="s">
        <v>84</v>
      </c>
      <c r="B6" s="15" t="s">
        <v>160</v>
      </c>
      <c r="C6" s="9" t="s">
        <v>161</v>
      </c>
      <c r="D6" s="9" t="s">
        <v>162</v>
      </c>
      <c r="E6" s="13" t="s">
        <v>38</v>
      </c>
    </row>
    <row r="7" customFormat="false" ht="45.75" hidden="false" customHeight="true" outlineLevel="0" collapsed="false">
      <c r="A7" s="12" t="s">
        <v>84</v>
      </c>
      <c r="B7" s="15" t="s">
        <v>163</v>
      </c>
      <c r="C7" s="9" t="s">
        <v>164</v>
      </c>
      <c r="D7" s="9" t="s">
        <v>165</v>
      </c>
      <c r="E7" s="13" t="s">
        <v>38</v>
      </c>
    </row>
    <row r="8" customFormat="false" ht="45.75" hidden="false" customHeight="true" outlineLevel="0" collapsed="false">
      <c r="A8" s="12" t="s">
        <v>75</v>
      </c>
      <c r="B8" s="15" t="s">
        <v>166</v>
      </c>
      <c r="C8" s="9" t="s">
        <v>167</v>
      </c>
      <c r="D8" s="9" t="s">
        <v>168</v>
      </c>
      <c r="E8" s="13" t="s">
        <v>38</v>
      </c>
    </row>
    <row r="9" customFormat="false" ht="45.75" hidden="false" customHeight="true" outlineLevel="0" collapsed="false">
      <c r="A9" s="12" t="s">
        <v>75</v>
      </c>
      <c r="B9" s="15" t="s">
        <v>169</v>
      </c>
      <c r="C9" s="9" t="s">
        <v>170</v>
      </c>
      <c r="D9" s="9" t="s">
        <v>171</v>
      </c>
      <c r="E9" s="13" t="s">
        <v>38</v>
      </c>
    </row>
    <row r="10" customFormat="false" ht="45.75" hidden="false" customHeight="true" outlineLevel="0" collapsed="false">
      <c r="A10" s="12" t="s">
        <v>75</v>
      </c>
      <c r="B10" s="15" t="s">
        <v>172</v>
      </c>
      <c r="C10" s="9" t="s">
        <v>173</v>
      </c>
      <c r="D10" s="9" t="s">
        <v>174</v>
      </c>
      <c r="E10" s="13" t="s">
        <v>38</v>
      </c>
    </row>
    <row r="11" customFormat="false" ht="45.75" hidden="false" customHeight="true" outlineLevel="0" collapsed="false">
      <c r="A11" s="12" t="s">
        <v>175</v>
      </c>
      <c r="B11" s="15" t="s">
        <v>176</v>
      </c>
      <c r="C11" s="9" t="s">
        <v>177</v>
      </c>
      <c r="D11" s="9" t="s">
        <v>178</v>
      </c>
      <c r="E11" s="13" t="s">
        <v>38</v>
      </c>
    </row>
    <row r="12" customFormat="false" ht="45.75" hidden="false" customHeight="true" outlineLevel="0" collapsed="false">
      <c r="A12" s="12" t="s">
        <v>179</v>
      </c>
      <c r="B12" s="15" t="s">
        <v>180</v>
      </c>
      <c r="C12" s="9" t="s">
        <v>181</v>
      </c>
      <c r="D12" s="9" t="s">
        <v>182</v>
      </c>
      <c r="E12" s="13" t="s">
        <v>38</v>
      </c>
    </row>
    <row r="13" customFormat="false" ht="45.75" hidden="false" customHeight="true" outlineLevel="0" collapsed="false">
      <c r="A13" s="12" t="s">
        <v>179</v>
      </c>
      <c r="B13" s="15" t="s">
        <v>183</v>
      </c>
      <c r="C13" s="9" t="s">
        <v>184</v>
      </c>
      <c r="D13" s="9" t="s">
        <v>185</v>
      </c>
      <c r="E13" s="13" t="s">
        <v>38</v>
      </c>
    </row>
    <row r="14" customFormat="false" ht="45.75" hidden="false" customHeight="true" outlineLevel="0" collapsed="false">
      <c r="A14" s="12" t="s">
        <v>179</v>
      </c>
      <c r="B14" s="15" t="s">
        <v>186</v>
      </c>
      <c r="C14" s="9" t="s">
        <v>187</v>
      </c>
      <c r="D14" s="9" t="s">
        <v>188</v>
      </c>
      <c r="E14" s="13" t="s">
        <v>38</v>
      </c>
    </row>
    <row r="15" customFormat="false" ht="45.75" hidden="false" customHeight="true" outlineLevel="0" collapsed="false">
      <c r="A15" s="12" t="s">
        <v>122</v>
      </c>
      <c r="B15" s="15" t="s">
        <v>120</v>
      </c>
      <c r="C15" s="9" t="s">
        <v>189</v>
      </c>
      <c r="D15" s="9" t="s">
        <v>190</v>
      </c>
      <c r="E15" s="14" t="s">
        <v>191</v>
      </c>
    </row>
    <row r="17" customFormat="false" ht="15" hidden="false" customHeight="true" outlineLevel="0" collapsed="false">
      <c r="A17" s="4" t="s">
        <v>192</v>
      </c>
      <c r="B17" s="4" t="str">
        <f aca="false">CONCATENATE(COUNTIF(E5:E15,"PASS")," of ",COUNTA(E5:E15)," verified on the live site; ",COUNTIF(E5:E15,"OPEN")," still open")</f>
        <v>10 of 11 verified on the live site; 1 still open</v>
      </c>
    </row>
    <row r="19" customFormat="false" ht="15" hidden="false" customHeight="true" outlineLevel="0" collapsed="false">
      <c r="A19" s="18" t="s">
        <v>193</v>
      </c>
    </row>
    <row r="20" customFormat="false" ht="75.75" hidden="false" customHeight="true" outlineLevel="0" collapsed="false">
      <c r="A20" s="5" t="s">
        <v>194</v>
      </c>
      <c r="B20" s="5"/>
      <c r="C20" s="5"/>
      <c r="D20" s="5"/>
      <c r="E20" s="5"/>
    </row>
  </sheetData>
  <mergeCells count="1">
    <mergeCell ref="A20:E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8"/>
    <col collapsed="false" customWidth="true" hidden="false" outlineLevel="0" max="3" min="3" style="1" width="12"/>
    <col collapsed="false" customWidth="true" hidden="false" outlineLevel="0" max="4" min="4" style="1" width="44"/>
    <col collapsed="false" customWidth="true" hidden="false" outlineLevel="0" max="5" min="5" style="1" width="60"/>
    <col collapsed="false" customWidth="true" hidden="false" outlineLevel="0" max="6" min="6" style="1" width="22"/>
  </cols>
  <sheetData>
    <row r="1" customFormat="false" ht="17.25" hidden="false" customHeight="true" outlineLevel="0" collapsed="false">
      <c r="A1" s="2" t="s">
        <v>195</v>
      </c>
    </row>
    <row r="2" customFormat="false" ht="15" hidden="false" customHeight="true" outlineLevel="0" collapsed="false">
      <c r="A2" s="3" t="s">
        <v>196</v>
      </c>
    </row>
    <row r="3" customFormat="false" ht="15" hidden="false" customHeight="true" outlineLevel="0" collapsed="false">
      <c r="A3" s="6" t="s">
        <v>28</v>
      </c>
      <c r="B3" s="6" t="s">
        <v>197</v>
      </c>
      <c r="C3" s="6" t="s">
        <v>129</v>
      </c>
      <c r="D3" s="6" t="s">
        <v>130</v>
      </c>
      <c r="E3" s="6" t="s">
        <v>198</v>
      </c>
      <c r="F3" s="6" t="s">
        <v>133</v>
      </c>
    </row>
    <row r="4" customFormat="false" ht="33.75" hidden="false" customHeight="true" outlineLevel="0" collapsed="false">
      <c r="A4" s="7" t="s">
        <v>199</v>
      </c>
      <c r="B4" s="19" t="n">
        <v>2</v>
      </c>
      <c r="C4" s="20" t="s">
        <v>134</v>
      </c>
      <c r="D4" s="9" t="s">
        <v>200</v>
      </c>
      <c r="E4" s="9" t="s">
        <v>201</v>
      </c>
      <c r="F4" s="21" t="s">
        <v>202</v>
      </c>
    </row>
    <row r="5" customFormat="false" ht="33.75" hidden="false" customHeight="true" outlineLevel="0" collapsed="false">
      <c r="A5" s="7" t="s">
        <v>203</v>
      </c>
      <c r="B5" s="19" t="n">
        <v>1</v>
      </c>
      <c r="C5" s="20" t="s">
        <v>134</v>
      </c>
      <c r="D5" s="9" t="s">
        <v>204</v>
      </c>
      <c r="E5" s="9" t="s">
        <v>205</v>
      </c>
      <c r="F5" s="21" t="s">
        <v>202</v>
      </c>
    </row>
    <row r="6" customFormat="false" ht="33.75" hidden="false" customHeight="true" outlineLevel="0" collapsed="false">
      <c r="A6" s="7" t="s">
        <v>115</v>
      </c>
      <c r="B6" s="19" t="n">
        <v>1</v>
      </c>
      <c r="C6" s="20" t="s">
        <v>134</v>
      </c>
      <c r="D6" s="9" t="s">
        <v>206</v>
      </c>
      <c r="E6" s="9" t="s">
        <v>207</v>
      </c>
      <c r="F6" s="21" t="s">
        <v>208</v>
      </c>
    </row>
    <row r="7" customFormat="false" ht="33.75" hidden="false" customHeight="true" outlineLevel="0" collapsed="false">
      <c r="A7" s="7" t="s">
        <v>209</v>
      </c>
      <c r="B7" s="19" t="n">
        <v>1</v>
      </c>
      <c r="C7" s="22" t="s">
        <v>147</v>
      </c>
      <c r="D7" s="9" t="s">
        <v>210</v>
      </c>
      <c r="E7" s="9" t="s">
        <v>211</v>
      </c>
      <c r="F7" s="21" t="s">
        <v>202</v>
      </c>
    </row>
    <row r="8" customFormat="false" ht="33.75" hidden="false" customHeight="true" outlineLevel="0" collapsed="false">
      <c r="A8" s="7" t="s">
        <v>212</v>
      </c>
      <c r="B8" s="19" t="n">
        <v>2</v>
      </c>
      <c r="C8" s="22" t="s">
        <v>213</v>
      </c>
      <c r="D8" s="9" t="s">
        <v>214</v>
      </c>
      <c r="E8" s="9" t="s">
        <v>215</v>
      </c>
      <c r="F8" s="21" t="s">
        <v>202</v>
      </c>
    </row>
    <row r="9" customFormat="false" ht="33.75" hidden="false" customHeight="true" outlineLevel="0" collapsed="false">
      <c r="A9" s="7" t="s">
        <v>216</v>
      </c>
      <c r="B9" s="19" t="n">
        <v>2</v>
      </c>
      <c r="C9" s="22" t="s">
        <v>213</v>
      </c>
      <c r="D9" s="9" t="s">
        <v>217</v>
      </c>
      <c r="E9" s="9" t="s">
        <v>218</v>
      </c>
      <c r="F9" s="21" t="s">
        <v>202</v>
      </c>
    </row>
    <row r="10" customFormat="false" ht="33.75" hidden="false" customHeight="true" outlineLevel="0" collapsed="false">
      <c r="A10" s="7" t="s">
        <v>219</v>
      </c>
      <c r="B10" s="19" t="n">
        <v>2</v>
      </c>
      <c r="C10" s="22" t="s">
        <v>213</v>
      </c>
      <c r="D10" s="9" t="s">
        <v>220</v>
      </c>
      <c r="E10" s="9" t="s">
        <v>221</v>
      </c>
      <c r="F10" s="21" t="s">
        <v>202</v>
      </c>
    </row>
    <row r="11" customFormat="false" ht="33.75" hidden="false" customHeight="true" outlineLevel="0" collapsed="false">
      <c r="A11" s="7" t="s">
        <v>222</v>
      </c>
      <c r="B11" s="19" t="n">
        <v>1</v>
      </c>
      <c r="C11" s="22" t="s">
        <v>213</v>
      </c>
      <c r="D11" s="9" t="s">
        <v>223</v>
      </c>
      <c r="E11" s="9" t="s">
        <v>224</v>
      </c>
      <c r="F11" s="21" t="s">
        <v>202</v>
      </c>
    </row>
    <row r="12" customFormat="false" ht="33.75" hidden="false" customHeight="true" outlineLevel="0" collapsed="false">
      <c r="A12" s="7" t="s">
        <v>225</v>
      </c>
      <c r="B12" s="19" t="n">
        <v>1</v>
      </c>
      <c r="C12" s="22" t="s">
        <v>213</v>
      </c>
      <c r="D12" s="9" t="s">
        <v>226</v>
      </c>
      <c r="E12" s="9" t="s">
        <v>227</v>
      </c>
      <c r="F12" s="21" t="s">
        <v>202</v>
      </c>
    </row>
    <row r="13" customFormat="false" ht="33.75" hidden="false" customHeight="true" outlineLevel="0" collapsed="false">
      <c r="A13" s="7" t="s">
        <v>43</v>
      </c>
      <c r="B13" s="19" t="n">
        <v>3</v>
      </c>
      <c r="C13" s="23" t="s">
        <v>143</v>
      </c>
      <c r="D13" s="9" t="s">
        <v>228</v>
      </c>
      <c r="E13" s="9" t="s">
        <v>229</v>
      </c>
      <c r="F13" s="21" t="s">
        <v>208</v>
      </c>
    </row>
    <row r="14" customFormat="false" ht="33.75" hidden="false" customHeight="true" outlineLevel="0" collapsed="false">
      <c r="A14" s="7" t="s">
        <v>67</v>
      </c>
      <c r="B14" s="19" t="n">
        <v>3</v>
      </c>
      <c r="C14" s="23" t="s">
        <v>143</v>
      </c>
      <c r="D14" s="9" t="s">
        <v>230</v>
      </c>
      <c r="E14" s="9" t="s">
        <v>231</v>
      </c>
      <c r="F14" s="21" t="s">
        <v>208</v>
      </c>
    </row>
    <row r="15" customFormat="false" ht="33.75" hidden="false" customHeight="true" outlineLevel="0" collapsed="false">
      <c r="A15" s="7" t="s">
        <v>62</v>
      </c>
      <c r="B15" s="19" t="n">
        <v>3</v>
      </c>
      <c r="C15" s="22" t="s">
        <v>147</v>
      </c>
      <c r="D15" s="9" t="s">
        <v>232</v>
      </c>
      <c r="E15" s="9" t="s">
        <v>233</v>
      </c>
      <c r="F15" s="21" t="s">
        <v>208</v>
      </c>
    </row>
    <row r="16" customFormat="false" ht="33.75" hidden="false" customHeight="true" outlineLevel="0" collapsed="false">
      <c r="A16" s="7" t="s">
        <v>234</v>
      </c>
      <c r="B16" s="19" t="n">
        <v>3</v>
      </c>
      <c r="C16" s="23" t="s">
        <v>143</v>
      </c>
      <c r="D16" s="9" t="s">
        <v>235</v>
      </c>
      <c r="E16" s="9" t="s">
        <v>236</v>
      </c>
      <c r="F16" s="21" t="s">
        <v>237</v>
      </c>
    </row>
    <row r="17" customFormat="false" ht="33.75" hidden="false" customHeight="true" outlineLevel="0" collapsed="false">
      <c r="A17" s="7" t="s">
        <v>84</v>
      </c>
      <c r="B17" s="19" t="n">
        <v>4</v>
      </c>
      <c r="C17" s="20" t="s">
        <v>134</v>
      </c>
      <c r="D17" s="9" t="s">
        <v>135</v>
      </c>
      <c r="E17" s="9" t="s">
        <v>238</v>
      </c>
      <c r="F17" s="21" t="s">
        <v>237</v>
      </c>
    </row>
    <row r="18" customFormat="false" ht="33.75" hidden="false" customHeight="true" outlineLevel="0" collapsed="false">
      <c r="A18" s="7" t="s">
        <v>75</v>
      </c>
      <c r="B18" s="19" t="n">
        <v>4</v>
      </c>
      <c r="C18" s="20" t="s">
        <v>134</v>
      </c>
      <c r="D18" s="9" t="s">
        <v>139</v>
      </c>
      <c r="E18" s="9" t="s">
        <v>239</v>
      </c>
      <c r="F18" s="21" t="s">
        <v>237</v>
      </c>
    </row>
    <row r="19" customFormat="false" ht="33.75" hidden="false" customHeight="true" outlineLevel="0" collapsed="false">
      <c r="A19" s="7" t="s">
        <v>89</v>
      </c>
      <c r="B19" s="19" t="n">
        <v>4</v>
      </c>
      <c r="C19" s="23" t="s">
        <v>143</v>
      </c>
      <c r="D19" s="9" t="s">
        <v>240</v>
      </c>
      <c r="E19" s="9" t="s">
        <v>241</v>
      </c>
      <c r="F19" s="21" t="s">
        <v>237</v>
      </c>
    </row>
    <row r="20" customFormat="false" ht="33.75" hidden="false" customHeight="true" outlineLevel="0" collapsed="false">
      <c r="A20" s="7" t="s">
        <v>122</v>
      </c>
      <c r="B20" s="19" t="n">
        <v>4</v>
      </c>
      <c r="C20" s="22" t="s">
        <v>147</v>
      </c>
      <c r="D20" s="9" t="s">
        <v>242</v>
      </c>
      <c r="E20" s="9" t="s">
        <v>243</v>
      </c>
      <c r="F20" s="24" t="s">
        <v>151</v>
      </c>
    </row>
    <row r="21" customFormat="false" ht="33.75" hidden="false" customHeight="true" outlineLevel="0" collapsed="false">
      <c r="A21" s="12" t="s">
        <v>244</v>
      </c>
      <c r="B21" s="19" t="n">
        <v>4</v>
      </c>
      <c r="C21" s="23" t="s">
        <v>143</v>
      </c>
      <c r="D21" s="9" t="s">
        <v>245</v>
      </c>
      <c r="E21" s="9" t="s">
        <v>246</v>
      </c>
      <c r="F21" s="21" t="s">
        <v>237</v>
      </c>
    </row>
    <row r="22" customFormat="false" ht="15" hidden="false" customHeight="true" outlineLevel="0" collapsed="false"/>
    <row r="23" customFormat="false" ht="15" hidden="false" customHeight="true" outlineLevel="0" collapsed="false">
      <c r="A23" s="4" t="s">
        <v>247</v>
      </c>
      <c r="D23" s="4" t="str">
        <f aca="false">CONCATENATE(COUNTA($A$4:$A$21)," defects tracked across all four rounds")</f>
        <v>18 defects tracked across all four rounds</v>
      </c>
    </row>
    <row r="24" customFormat="false" ht="15" hidden="false" customHeight="true" outlineLevel="0" collapsed="false">
      <c r="D24" s="10" t="str">
        <f aca="false">CONCATENATE(COUNTIF($F$4:$F$21,"Fixed, verified round 3")," fixed and verified in round 3")</f>
        <v>8 fixed and verified in round 3</v>
      </c>
    </row>
    <row r="25" customFormat="false" ht="15" hidden="false" customHeight="true" outlineLevel="0" collapsed="false">
      <c r="D25" s="10" t="str">
        <f aca="false">CONCATENATE(COUNTIF($F$4:$F$21,"Fixed, verified round 4")," fixed and verified during round 4")</f>
        <v>4 fixed and verified during round 4</v>
      </c>
    </row>
    <row r="26" customFormat="false" ht="15" hidden="false" customHeight="true" outlineLevel="0" collapsed="false">
      <c r="D26" s="10" t="str">
        <f aca="false">CONCATENATE(COUNTIF($F$4:$F$21,"Fixed, verified round 4 (post-deploy)")," fixed and verified after the round 4 deploy")</f>
        <v>5 fixed and verified after the round 4 deploy</v>
      </c>
    </row>
    <row r="27" customFormat="false" ht="15" hidden="false" customHeight="true" outlineLevel="0" collapsed="false">
      <c r="D27" s="10" t="str">
        <f aca="false">CONCATENATE(COUNTIF($F$4:$F$21,"Open*")," still open — R4-D4, which needs a client decision")</f>
        <v>1 still open — R4-D4, which needs a client decision</v>
      </c>
    </row>
    <row r="28" customFormat="false" ht="15" hidden="false" customHeight="true" outlineLevel="0" collapsed="false">
      <c r="D28" s="25" t="str">
        <f aca="false">CONCATENATE("Buckets account for ",COUNTIF($F$4:$F$21,"Fixed, verified round 3")+COUNTIF($F$4:$F$21,"Fixed, verified round 4")+COUNTIF($F$4:$F$21,"Fixed, verified round 4 (post-deploy)")+COUNTIF($F$4:$F$21,"Open*")," of ",COUNTA($A$4:$A$21)," tracked")</f>
        <v>Buckets account for 18 of 18 tracked</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0" topLeftCell="A2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3" min="2" style="1" width="20"/>
    <col collapsed="false" customWidth="true" hidden="false" outlineLevel="0" max="4" min="4" style="1" width="16"/>
    <col collapsed="false" customWidth="true" hidden="false" outlineLevel="0" max="5" min="5" style="1" width="56"/>
  </cols>
  <sheetData>
    <row r="1" customFormat="false" ht="17.25" hidden="false" customHeight="true" outlineLevel="0" collapsed="false">
      <c r="A1" s="2" t="s">
        <v>248</v>
      </c>
    </row>
    <row r="2" customFormat="false" ht="15" hidden="false" customHeight="true" outlineLevel="0" collapsed="false">
      <c r="A2" s="3" t="s">
        <v>249</v>
      </c>
    </row>
    <row r="4" customFormat="false" ht="15" hidden="false" customHeight="true" outlineLevel="0" collapsed="false">
      <c r="A4" s="6" t="s">
        <v>250</v>
      </c>
      <c r="B4" s="6" t="s">
        <v>251</v>
      </c>
      <c r="C4" s="6" t="s">
        <v>252</v>
      </c>
      <c r="D4" s="6" t="s">
        <v>253</v>
      </c>
      <c r="E4" s="6" t="s">
        <v>254</v>
      </c>
    </row>
    <row r="5" customFormat="false" ht="15" hidden="false" customHeight="true" outlineLevel="0" collapsed="false">
      <c r="A5" s="9" t="s">
        <v>255</v>
      </c>
      <c r="B5" s="26" t="n">
        <v>18</v>
      </c>
      <c r="C5" s="26" t="n">
        <v>18</v>
      </c>
      <c r="D5" s="8" t="n">
        <f aca="false">C5-B5</f>
        <v>0</v>
      </c>
      <c r="E5" s="9" t="s">
        <v>256</v>
      </c>
    </row>
    <row r="6" customFormat="false" ht="15" hidden="false" customHeight="true" outlineLevel="0" collapsed="false">
      <c r="A6" s="9" t="s">
        <v>257</v>
      </c>
      <c r="B6" s="26" t="n">
        <v>8301</v>
      </c>
      <c r="C6" s="26" t="n">
        <v>8301</v>
      </c>
      <c r="D6" s="8" t="n">
        <f aca="false">C6-B6</f>
        <v>0</v>
      </c>
      <c r="E6" s="9" t="s">
        <v>256</v>
      </c>
    </row>
    <row r="7" customFormat="false" ht="15" hidden="false" customHeight="true" outlineLevel="0" collapsed="false">
      <c r="A7" s="9" t="s">
        <v>258</v>
      </c>
      <c r="B7" s="26" t="n">
        <v>8301</v>
      </c>
      <c r="C7" s="26" t="n">
        <v>8301</v>
      </c>
      <c r="D7" s="8" t="n">
        <f aca="false">C7-B7</f>
        <v>0</v>
      </c>
      <c r="E7" s="9" t="s">
        <v>259</v>
      </c>
    </row>
    <row r="8" customFormat="false" ht="15" hidden="false" customHeight="true" outlineLevel="0" collapsed="false">
      <c r="A8" s="9" t="s">
        <v>260</v>
      </c>
      <c r="B8" s="26" t="n">
        <v>12209350</v>
      </c>
      <c r="C8" s="26" t="n">
        <v>12209350</v>
      </c>
      <c r="D8" s="8" t="n">
        <f aca="false">C8-B8</f>
        <v>0</v>
      </c>
      <c r="E8" s="9" t="s">
        <v>261</v>
      </c>
    </row>
    <row r="9" customFormat="false" ht="15" hidden="false" customHeight="true" outlineLevel="0" collapsed="false">
      <c r="A9" s="9" t="s">
        <v>262</v>
      </c>
      <c r="B9" s="26" t="n">
        <v>18</v>
      </c>
      <c r="C9" s="26" t="n">
        <v>18</v>
      </c>
      <c r="D9" s="8" t="n">
        <f aca="false">C9-B9</f>
        <v>0</v>
      </c>
      <c r="E9" s="9" t="s">
        <v>263</v>
      </c>
    </row>
    <row r="10" customFormat="false" ht="15" hidden="false" customHeight="true" outlineLevel="0" collapsed="false">
      <c r="A10" s="9" t="s">
        <v>264</v>
      </c>
      <c r="B10" s="26" t="n">
        <v>8301</v>
      </c>
      <c r="C10" s="26" t="n">
        <v>8301</v>
      </c>
      <c r="D10" s="8" t="n">
        <f aca="false">C10-B10</f>
        <v>0</v>
      </c>
      <c r="E10" s="9" t="s">
        <v>265</v>
      </c>
    </row>
    <row r="11" customFormat="false" ht="15" hidden="false" customHeight="true" outlineLevel="0" collapsed="false">
      <c r="A11" s="9" t="s">
        <v>266</v>
      </c>
      <c r="B11" s="26" t="n">
        <v>14185975</v>
      </c>
      <c r="C11" s="26" t="n">
        <v>14185975</v>
      </c>
      <c r="D11" s="8" t="n">
        <f aca="false">C11-B11</f>
        <v>0</v>
      </c>
      <c r="E11" s="9" t="s">
        <v>267</v>
      </c>
    </row>
    <row r="12" customFormat="false" ht="15" hidden="false" customHeight="true" outlineLevel="0" collapsed="false">
      <c r="A12" s="9" t="s">
        <v>268</v>
      </c>
      <c r="B12" s="26" t="n">
        <v>16</v>
      </c>
      <c r="C12" s="26" t="n">
        <v>16</v>
      </c>
      <c r="D12" s="8" t="n">
        <f aca="false">C12-B12</f>
        <v>0</v>
      </c>
      <c r="E12" s="9" t="s">
        <v>269</v>
      </c>
    </row>
    <row r="13" customFormat="false" ht="15" hidden="false" customHeight="true" outlineLevel="0" collapsed="false">
      <c r="A13" s="9" t="s">
        <v>270</v>
      </c>
      <c r="B13" s="26" t="n">
        <v>20500</v>
      </c>
      <c r="C13" s="26" t="n">
        <v>20500</v>
      </c>
      <c r="D13" s="8" t="n">
        <f aca="false">C13-B13</f>
        <v>0</v>
      </c>
      <c r="E13" s="9" t="s">
        <v>269</v>
      </c>
    </row>
    <row r="14" customFormat="false" ht="15" hidden="false" customHeight="true" outlineLevel="0" collapsed="false">
      <c r="A14" s="27" t="s">
        <v>271</v>
      </c>
      <c r="B14" s="28"/>
      <c r="C14" s="28"/>
      <c r="D14" s="29" t="n">
        <f aca="false">SUM(D5:D13)</f>
        <v>0</v>
      </c>
      <c r="E14" s="9" t="s">
        <v>272</v>
      </c>
    </row>
    <row r="17" customFormat="false" ht="15" hidden="false" customHeight="true" outlineLevel="0" collapsed="false">
      <c r="A17" s="30" t="s">
        <v>273</v>
      </c>
    </row>
    <row r="18" customFormat="false" ht="30" hidden="false" customHeight="true" outlineLevel="0" collapsed="false">
      <c r="A18" s="5" t="s">
        <v>274</v>
      </c>
      <c r="B18" s="5"/>
      <c r="C18" s="5"/>
      <c r="D18" s="5"/>
      <c r="E18" s="5"/>
    </row>
    <row r="20" customFormat="false" ht="15" hidden="false" customHeight="true" outlineLevel="0" collapsed="false">
      <c r="A20" s="6" t="s">
        <v>275</v>
      </c>
      <c r="B20" s="6" t="s">
        <v>276</v>
      </c>
      <c r="C20" s="6" t="s">
        <v>277</v>
      </c>
      <c r="D20" s="6" t="s">
        <v>278</v>
      </c>
      <c r="E20" s="6" t="s">
        <v>279</v>
      </c>
    </row>
    <row r="21" customFormat="false" ht="27.75" hidden="false" customHeight="true" outlineLevel="0" collapsed="false">
      <c r="A21" s="9" t="s">
        <v>280</v>
      </c>
      <c r="B21" s="31" t="n">
        <v>1000</v>
      </c>
      <c r="C21" s="31" t="n">
        <v>5000</v>
      </c>
      <c r="D21" s="32" t="n">
        <f aca="false">B21-C21</f>
        <v>-4000</v>
      </c>
      <c r="E21" s="9" t="s">
        <v>281</v>
      </c>
    </row>
    <row r="22" customFormat="false" ht="27.75" hidden="false" customHeight="true" outlineLevel="0" collapsed="false">
      <c r="A22" s="9" t="s">
        <v>282</v>
      </c>
      <c r="B22" s="31" t="n">
        <v>13000</v>
      </c>
      <c r="C22" s="31" t="n">
        <v>5000</v>
      </c>
      <c r="D22" s="32" t="n">
        <f aca="false">B22-C22</f>
        <v>8000</v>
      </c>
      <c r="E22" s="9" t="s">
        <v>283</v>
      </c>
    </row>
    <row r="23" customFormat="false" ht="27.75" hidden="false" customHeight="true" outlineLevel="0" collapsed="false">
      <c r="A23" s="9" t="s">
        <v>284</v>
      </c>
      <c r="B23" s="31" t="n">
        <v>10000</v>
      </c>
      <c r="C23" s="31" t="n">
        <v>6000</v>
      </c>
      <c r="D23" s="32" t="n">
        <f aca="false">B23-C23</f>
        <v>4000</v>
      </c>
      <c r="E23" s="9" t="s">
        <v>285</v>
      </c>
    </row>
    <row r="24" customFormat="false" ht="27.75" hidden="false" customHeight="true" outlineLevel="0" collapsed="false">
      <c r="A24" s="9" t="s">
        <v>286</v>
      </c>
      <c r="B24" s="31" t="n">
        <v>1000</v>
      </c>
      <c r="C24" s="31" t="n">
        <v>5000</v>
      </c>
      <c r="D24" s="32" t="n">
        <f aca="false">B24-C24</f>
        <v>-4000</v>
      </c>
      <c r="E24" s="9" t="s">
        <v>287</v>
      </c>
    </row>
    <row r="26" customFormat="false" ht="15" hidden="false" customHeight="true" outlineLevel="0" collapsed="false">
      <c r="A26" s="33" t="s">
        <v>288</v>
      </c>
      <c r="B26" s="33"/>
      <c r="C26" s="33"/>
      <c r="D26" s="33"/>
      <c r="E26" s="33"/>
    </row>
  </sheetData>
  <mergeCells count="2">
    <mergeCell ref="A18:E18"/>
    <mergeCell ref="A26:E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46"/>
    <col collapsed="false" customWidth="true" hidden="false" outlineLevel="0" max="3" min="3" style="1" width="74"/>
    <col collapsed="false" customWidth="true" hidden="false" outlineLevel="0" max="4" min="4" style="1" width="26"/>
  </cols>
  <sheetData>
    <row r="1" customFormat="false" ht="17.25" hidden="false" customHeight="true" outlineLevel="0" collapsed="false">
      <c r="A1" s="2" t="s">
        <v>289</v>
      </c>
    </row>
    <row r="2" customFormat="false" ht="15" hidden="false" customHeight="true" outlineLevel="0" collapsed="false">
      <c r="A2" s="3" t="s">
        <v>290</v>
      </c>
    </row>
    <row r="3" customFormat="false" ht="15" hidden="false" customHeight="true" outlineLevel="0" collapsed="false">
      <c r="A3" s="6" t="s">
        <v>291</v>
      </c>
      <c r="B3" s="6" t="s">
        <v>292</v>
      </c>
      <c r="C3" s="6" t="s">
        <v>293</v>
      </c>
      <c r="D3" s="6" t="s">
        <v>294</v>
      </c>
    </row>
    <row r="4" customFormat="false" ht="55.5" hidden="false" customHeight="true" outlineLevel="0" collapsed="false">
      <c r="A4" s="12" t="n">
        <v>1</v>
      </c>
      <c r="B4" s="15" t="s">
        <v>295</v>
      </c>
      <c r="C4" s="9" t="s">
        <v>296</v>
      </c>
      <c r="D4" s="34" t="s">
        <v>297</v>
      </c>
    </row>
    <row r="5" customFormat="false" ht="55.5" hidden="false" customHeight="true" outlineLevel="0" collapsed="false">
      <c r="A5" s="12" t="n">
        <v>2</v>
      </c>
      <c r="B5" s="15" t="s">
        <v>298</v>
      </c>
      <c r="C5" s="9" t="s">
        <v>299</v>
      </c>
      <c r="D5" s="21" t="s">
        <v>300</v>
      </c>
    </row>
    <row r="6" customFormat="false" ht="55.5" hidden="false" customHeight="true" outlineLevel="0" collapsed="false">
      <c r="A6" s="12" t="n">
        <v>3</v>
      </c>
      <c r="B6" s="15" t="s">
        <v>301</v>
      </c>
      <c r="C6" s="9" t="s">
        <v>302</v>
      </c>
      <c r="D6" s="21" t="s">
        <v>300</v>
      </c>
    </row>
    <row r="7" customFormat="false" ht="55.5" hidden="false" customHeight="true" outlineLevel="0" collapsed="false">
      <c r="A7" s="12" t="n">
        <v>4</v>
      </c>
      <c r="B7" s="15" t="s">
        <v>303</v>
      </c>
      <c r="C7" s="9" t="s">
        <v>304</v>
      </c>
      <c r="D7" s="21" t="s">
        <v>300</v>
      </c>
    </row>
    <row r="8" customFormat="false" ht="55.5" hidden="false" customHeight="true" outlineLevel="0" collapsed="false">
      <c r="A8" s="12" t="n">
        <v>5</v>
      </c>
      <c r="B8" s="15" t="s">
        <v>305</v>
      </c>
      <c r="C8" s="9" t="s">
        <v>306</v>
      </c>
      <c r="D8" s="34" t="s">
        <v>307</v>
      </c>
    </row>
    <row r="9" customFormat="false" ht="55.5" hidden="false" customHeight="true" outlineLevel="0" collapsed="false">
      <c r="A9" s="12" t="n">
        <v>6</v>
      </c>
      <c r="B9" s="15" t="s">
        <v>308</v>
      </c>
      <c r="C9" s="9" t="s">
        <v>309</v>
      </c>
      <c r="D9" s="24" t="s">
        <v>310</v>
      </c>
    </row>
    <row r="10" customFormat="false" ht="55.5" hidden="false" customHeight="true" outlineLevel="0" collapsed="false">
      <c r="A10" s="12" t="n">
        <v>7</v>
      </c>
      <c r="B10" s="15" t="s">
        <v>311</v>
      </c>
      <c r="C10" s="9" t="s">
        <v>312</v>
      </c>
      <c r="D10" s="34" t="s">
        <v>313</v>
      </c>
    </row>
    <row r="11" customFormat="false" ht="55.5" hidden="false" customHeight="true" outlineLevel="0" collapsed="false">
      <c r="A11" s="12" t="n">
        <v>8</v>
      </c>
      <c r="B11" s="15" t="s">
        <v>314</v>
      </c>
      <c r="C11" s="9" t="s">
        <v>315</v>
      </c>
      <c r="D11" s="24" t="s">
        <v>310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0"/>
    <col collapsed="false" customWidth="true" hidden="false" outlineLevel="0" max="3" min="3" style="1" width="86"/>
  </cols>
  <sheetData>
    <row r="1" customFormat="false" ht="17.25" hidden="false" customHeight="true" outlineLevel="0" collapsed="false">
      <c r="A1" s="2" t="s">
        <v>316</v>
      </c>
    </row>
    <row r="2" customFormat="false" ht="15" hidden="false" customHeight="true" outlineLevel="0" collapsed="false">
      <c r="A2" s="3" t="s">
        <v>317</v>
      </c>
    </row>
    <row r="3" customFormat="false" ht="15" hidden="false" customHeight="true" outlineLevel="0" collapsed="false">
      <c r="A3" s="6" t="s">
        <v>291</v>
      </c>
      <c r="B3" s="6" t="s">
        <v>154</v>
      </c>
      <c r="C3" s="6" t="s">
        <v>293</v>
      </c>
    </row>
    <row r="4" customFormat="false" ht="51.75" hidden="false" customHeight="true" outlineLevel="0" collapsed="false">
      <c r="A4" s="12" t="n">
        <v>1</v>
      </c>
      <c r="B4" s="15" t="s">
        <v>318</v>
      </c>
      <c r="C4" s="9" t="s">
        <v>319</v>
      </c>
    </row>
    <row r="5" customFormat="false" ht="51.75" hidden="false" customHeight="true" outlineLevel="0" collapsed="false">
      <c r="A5" s="12" t="n">
        <v>2</v>
      </c>
      <c r="B5" s="15" t="s">
        <v>320</v>
      </c>
      <c r="C5" s="9" t="s">
        <v>321</v>
      </c>
    </row>
    <row r="6" customFormat="false" ht="51.75" hidden="false" customHeight="true" outlineLevel="0" collapsed="false">
      <c r="A6" s="12" t="n">
        <v>3</v>
      </c>
      <c r="B6" s="15" t="s">
        <v>322</v>
      </c>
      <c r="C6" s="9" t="s">
        <v>323</v>
      </c>
    </row>
    <row r="7" customFormat="false" ht="51.75" hidden="false" customHeight="true" outlineLevel="0" collapsed="false">
      <c r="A7" s="12" t="n">
        <v>4</v>
      </c>
      <c r="B7" s="15" t="s">
        <v>324</v>
      </c>
      <c r="C7" s="9" t="s">
        <v>325</v>
      </c>
    </row>
    <row r="8" customFormat="false" ht="51.75" hidden="false" customHeight="true" outlineLevel="0" collapsed="false">
      <c r="A8" s="12" t="n">
        <v>5</v>
      </c>
      <c r="B8" s="15" t="s">
        <v>326</v>
      </c>
      <c r="C8" s="9" t="s">
        <v>327</v>
      </c>
    </row>
    <row r="9" customFormat="false" ht="51.75" hidden="false" customHeight="true" outlineLevel="0" collapsed="false">
      <c r="A9" s="12" t="n">
        <v>6</v>
      </c>
      <c r="B9" s="15" t="s">
        <v>328</v>
      </c>
      <c r="C9" s="9" t="s">
        <v>329</v>
      </c>
    </row>
    <row r="10" customFormat="false" ht="51.75" hidden="false" customHeight="true" outlineLevel="0" collapsed="false">
      <c r="A10" s="12" t="n">
        <v>7</v>
      </c>
      <c r="B10" s="15" t="s">
        <v>330</v>
      </c>
      <c r="C10" s="9" t="s">
        <v>331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2026-09-07T07:29:31Z</dcterms:created>
  <dc:creator>openpyxl</dc:creator>
  <dc:description/>
  <dc:language>en-US</dc:language>
  <cp:lastModifiedBy/>
  <dcterms:modified xsi:type="dcterms:W3CDTF">2026-09-07T10:36:45Z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